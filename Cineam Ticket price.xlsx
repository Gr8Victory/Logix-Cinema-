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cmcoatingnigeria-my.sharepoint.com/personal/warehouse_pcmnigeria_com/Documents/"/>
    </mc:Choice>
  </mc:AlternateContent>
  <xr:revisionPtr revIDLastSave="1319" documentId="8_{F5C1F5FF-084E-426D-9750-C00EF42F27C1}" xr6:coauthVersionLast="47" xr6:coauthVersionMax="47" xr10:uidLastSave="{11DA5A0A-E175-46E0-8FA6-BFBB82EEA140}"/>
  <bookViews>
    <workbookView xWindow="-120" yWindow="-120" windowWidth="20730" windowHeight="11160" firstSheet="1" activeTab="2" xr2:uid="{ABBB97D9-3DFF-4A84-9639-C1774B3E6D57}"/>
  </bookViews>
  <sheets>
    <sheet name="Sheet2" sheetId="6" state="hidden" r:id="rId1"/>
    <sheet name="Optimization of Ticket Dataset" sheetId="2" r:id="rId2"/>
    <sheet name="Dashboard" sheetId="1" r:id="rId3"/>
  </sheets>
  <definedNames>
    <definedName name="ExternalData_1" localSheetId="1" hidden="1">'Optimization of Ticket Dataset'!$C$2:$H$23</definedName>
    <definedName name="NativeTimeline_Date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H22" i="2" s="1"/>
  <c r="G23" i="2"/>
  <c r="E23" i="2"/>
  <c r="I4" i="2"/>
  <c r="I12" i="2"/>
  <c r="I5" i="2"/>
  <c r="I22" i="2"/>
  <c r="I11" i="2"/>
  <c r="I15" i="2"/>
  <c r="I9" i="2"/>
  <c r="I6" i="2"/>
  <c r="I18" i="2"/>
  <c r="I10" i="2"/>
  <c r="I7" i="2"/>
  <c r="I17" i="2"/>
  <c r="I13" i="2"/>
  <c r="I3" i="2"/>
  <c r="I21" i="2"/>
  <c r="I19" i="2"/>
  <c r="I14" i="2"/>
  <c r="I8" i="2"/>
  <c r="I16" i="2"/>
  <c r="I20" i="2"/>
  <c r="F20" i="2"/>
  <c r="H20" i="2" s="1"/>
  <c r="F4" i="2"/>
  <c r="H4" i="2" s="1"/>
  <c r="F12" i="2"/>
  <c r="H12" i="2" s="1"/>
  <c r="F5" i="2"/>
  <c r="H5" i="2" s="1"/>
  <c r="F11" i="2"/>
  <c r="H11" i="2" s="1"/>
  <c r="F15" i="2"/>
  <c r="H15" i="2" s="1"/>
  <c r="F9" i="2"/>
  <c r="H9" i="2" s="1"/>
  <c r="F6" i="2"/>
  <c r="H6" i="2" s="1"/>
  <c r="F18" i="2"/>
  <c r="H18" i="2" s="1"/>
  <c r="F10" i="2"/>
  <c r="H10" i="2" s="1"/>
  <c r="F7" i="2"/>
  <c r="H7" i="2" s="1"/>
  <c r="F17" i="2"/>
  <c r="H17" i="2" s="1"/>
  <c r="F13" i="2"/>
  <c r="H13" i="2" s="1"/>
  <c r="F3" i="2"/>
  <c r="H3" i="2" s="1"/>
  <c r="F21" i="2"/>
  <c r="H21" i="2" s="1"/>
  <c r="F19" i="2"/>
  <c r="H19" i="2" s="1"/>
  <c r="F14" i="2"/>
  <c r="H14" i="2" s="1"/>
  <c r="F8" i="2"/>
  <c r="H8" i="2" s="1"/>
  <c r="F16" i="2"/>
  <c r="H16" i="2" s="1"/>
  <c r="L16" i="2" s="1"/>
  <c r="I23" i="2" l="1"/>
  <c r="H23" i="2"/>
  <c r="L3" i="2"/>
  <c r="L12" i="2"/>
  <c r="L18" i="2"/>
  <c r="L11" i="2"/>
  <c r="L15" i="2"/>
  <c r="L20" i="2"/>
  <c r="L19" i="2"/>
  <c r="L17" i="2"/>
  <c r="L6" i="2"/>
  <c r="L22" i="2"/>
  <c r="L21" i="2"/>
  <c r="L7" i="2"/>
  <c r="L9" i="2"/>
  <c r="L5" i="2"/>
  <c r="L8" i="2"/>
  <c r="L10" i="2"/>
  <c r="L14" i="2"/>
  <c r="L13" i="2"/>
  <c r="L4" i="2"/>
  <c r="J16" i="2"/>
  <c r="K16" i="2" s="1"/>
  <c r="J21" i="2"/>
  <c r="K21" i="2" s="1"/>
  <c r="J7" i="2"/>
  <c r="K7" i="2" s="1"/>
  <c r="J9" i="2"/>
  <c r="K9" i="2" s="1"/>
  <c r="J5" i="2"/>
  <c r="J8" i="2"/>
  <c r="K8" i="2" s="1"/>
  <c r="J3" i="2"/>
  <c r="K3" i="2" s="1"/>
  <c r="J10" i="2"/>
  <c r="K10" i="2" s="1"/>
  <c r="J15" i="2"/>
  <c r="K15" i="2" s="1"/>
  <c r="J12" i="2"/>
  <c r="K12" i="2" s="1"/>
  <c r="J14" i="2"/>
  <c r="K14" i="2" s="1"/>
  <c r="J13" i="2"/>
  <c r="K13" i="2" s="1"/>
  <c r="J18" i="2"/>
  <c r="K18" i="2" s="1"/>
  <c r="J11" i="2"/>
  <c r="K11" i="2" s="1"/>
  <c r="J4" i="2"/>
  <c r="K4" i="2" s="1"/>
  <c r="J19" i="2"/>
  <c r="K19" i="2" s="1"/>
  <c r="J17" i="2"/>
  <c r="K17" i="2" s="1"/>
  <c r="J6" i="2"/>
  <c r="K6" i="2" s="1"/>
  <c r="J22" i="2"/>
  <c r="K22" i="2" s="1"/>
  <c r="J20" i="2"/>
  <c r="K20" i="2" s="1"/>
  <c r="L23" i="2" l="1"/>
  <c r="K5" i="2"/>
  <c r="K23" i="2" s="1"/>
  <c r="J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7A139-6A3F-4D54-8941-9279B765B826}" keepAlive="1" name="Query - Optimization of Ticket Dataset" description="Connection to the 'Optimization of Ticket Dataset' query in the workbook." type="5" refreshedVersion="8" background="1" saveData="1">
    <dbPr connection="Provider=Microsoft.Mashup.OleDb.1;Data Source=$Workbook$;Location=&quot;Optimization of Ticket Dataset&quot;;Extended Properties=&quot;&quot;" command="SELECT * FROM [Optimization of Ticket Dataset]"/>
  </connection>
</connections>
</file>

<file path=xl/sharedStrings.xml><?xml version="1.0" encoding="utf-8"?>
<sst xmlns="http://schemas.openxmlformats.org/spreadsheetml/2006/main" count="58" uniqueCount="25">
  <si>
    <t>Date</t>
  </si>
  <si>
    <t>Price_per_Ticket</t>
  </si>
  <si>
    <t>Tickets_Sold</t>
  </si>
  <si>
    <t>S/N</t>
  </si>
  <si>
    <t>Demand/Orders</t>
  </si>
  <si>
    <t>Optimized Revenue</t>
  </si>
  <si>
    <t>Full Demand Revenue</t>
  </si>
  <si>
    <t xml:space="preserve">Fixed         Revenue </t>
  </si>
  <si>
    <t>Revenue profit/Loss      (Unmet Demands)</t>
  </si>
  <si>
    <t>Revenue profit/Loss      (No price Optimization)</t>
  </si>
  <si>
    <t>Row Labels</t>
  </si>
  <si>
    <t>Grand Total</t>
  </si>
  <si>
    <t>Feb</t>
  </si>
  <si>
    <t>Mar</t>
  </si>
  <si>
    <t>Apr</t>
  </si>
  <si>
    <t>May</t>
  </si>
  <si>
    <t>Jun</t>
  </si>
  <si>
    <t>Jul</t>
  </si>
  <si>
    <t>Sum of Optimized Revenue</t>
  </si>
  <si>
    <t>Sum of Tickets_Sold</t>
  </si>
  <si>
    <t>Sum of Demand/Orders</t>
  </si>
  <si>
    <t>Sum of Revenue profit/Loss      (Unmet Demands)</t>
  </si>
  <si>
    <t xml:space="preserve">Sum of Fixed         Revenue </t>
  </si>
  <si>
    <t>Sum of Full Demand Revenue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</si>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</sst>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-[$₦-469]\ * #,##0.00_-;\-[$₦-469]\ * #,##0.00_-;_-[$₦-469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88A71"/>
        <bgColor indexed="64"/>
      </patternFill>
    </fill>
    <fill>
      <patternFill patternType="solid">
        <fgColor rgb="FF8FF9DD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B050"/>
      </right>
      <top/>
      <bottom/>
      <diagonal/>
    </border>
    <border>
      <left/>
      <right/>
      <top/>
      <bottom style="thin">
        <color rgb="FF00B05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164" fontId="0" fillId="0" borderId="2" xfId="1" applyNumberFormat="1" applyFont="1" applyBorder="1"/>
    <xf numFmtId="164" fontId="0" fillId="0" borderId="2" xfId="0" applyNumberFormat="1" applyBorder="1"/>
    <xf numFmtId="0" fontId="0" fillId="3" borderId="0" xfId="0" applyFill="1" applyAlignment="1">
      <alignment horizontal="center" vertical="center" wrapText="1"/>
    </xf>
    <xf numFmtId="1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44" fontId="0" fillId="4" borderId="0" xfId="1" applyFont="1" applyFill="1" applyAlignment="1">
      <alignment horizontal="center"/>
    </xf>
    <xf numFmtId="164" fontId="0" fillId="4" borderId="0" xfId="1" applyNumberFormat="1" applyFont="1" applyFill="1"/>
    <xf numFmtId="164" fontId="0" fillId="4" borderId="0" xfId="0" applyNumberFormat="1" applyFill="1"/>
    <xf numFmtId="14" fontId="2" fillId="4" borderId="0" xfId="0" applyNumberFormat="1" applyFont="1" applyFill="1"/>
    <xf numFmtId="0" fontId="2" fillId="4" borderId="0" xfId="0" applyFont="1" applyFill="1" applyAlignment="1">
      <alignment horizontal="center"/>
    </xf>
    <xf numFmtId="164" fontId="2" fillId="4" borderId="0" xfId="1" applyNumberFormat="1" applyFont="1" applyFill="1"/>
    <xf numFmtId="164" fontId="2" fillId="4" borderId="0" xfId="0" applyNumberFormat="1" applyFont="1" applyFill="1"/>
    <xf numFmtId="2" fontId="2" fillId="4" borderId="0" xfId="1" applyNumberFormat="1" applyFont="1" applyFill="1" applyAlignment="1">
      <alignment horizontal="center"/>
    </xf>
    <xf numFmtId="0" fontId="0" fillId="4" borderId="0" xfId="0" applyFill="1" applyBorder="1"/>
    <xf numFmtId="14" fontId="0" fillId="4" borderId="0" xfId="0" applyNumberFormat="1" applyFill="1" applyBorder="1"/>
    <xf numFmtId="0" fontId="0" fillId="4" borderId="0" xfId="0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164" fontId="0" fillId="4" borderId="0" xfId="1" applyNumberFormat="1" applyFont="1" applyFill="1" applyBorder="1"/>
    <xf numFmtId="164" fontId="0" fillId="4" borderId="0" xfId="0" applyNumberFormat="1" applyFill="1" applyBorder="1"/>
  </cellXfs>
  <cellStyles count="2">
    <cellStyle name="Currency" xfId="1" builtinId="4"/>
    <cellStyle name="Normal" xfId="0" builtinId="0"/>
  </cellStyles>
  <dxfs count="12">
    <dxf>
      <fill>
        <patternFill patternType="solid">
          <fgColor indexed="64"/>
          <bgColor rgb="FF088A71"/>
        </patternFill>
      </fill>
      <alignment horizontal="center" vertical="center" textRotation="0" wrapText="1" indent="0" justifyLastLine="0" shrinkToFit="0" readingOrder="0"/>
    </dxf>
    <dxf>
      <numFmt numFmtId="164" formatCode="_-[$₦-469]\ * #,##0.00_-;\-[$₦-469]\ * #,##0.00_-;_-[$₦-469]\ * &quot;-&quot;??_-;_-@_-"/>
    </dxf>
    <dxf>
      <numFmt numFmtId="164" formatCode="_-[$₦-469]\ * #,##0.00_-;\-[$₦-469]\ * #,##0.00_-;_-[$₦-469]\ * &quot;-&quot;??_-;_-@_-"/>
    </dxf>
    <dxf>
      <numFmt numFmtId="164" formatCode="_-[$₦-469]\ * #,##0.00_-;\-[$₦-469]\ * #,##0.00_-;_-[$₦-469]\ * &quot;-&quot;??_-;_-@_-"/>
    </dxf>
    <dxf>
      <numFmt numFmtId="0" formatCode="General"/>
    </dxf>
    <dxf>
      <numFmt numFmtId="164" formatCode="_-[$₦-469]\ * #,##0.00_-;\-[$₦-469]\ * #,##0.00_-;_-[$₦-469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font>
        <b/>
        <sz val="11"/>
        <color theme="1"/>
      </font>
      <border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</dxfs>
  <tableStyles count="1" defaultTableStyle="TableStyleMedium2" defaultPivotStyle="PivotStyleLight16">
    <tableStyle name="TimeSlicerStyleLight3 2" pivot="0" table="0" count="9" xr9:uid="{32EEC2DF-5BC7-44FB-8998-8CFA2BA3E546}">
      <tableStyleElement type="wholeTable" dxfId="11"/>
      <tableStyleElement type="headerRow" dxfId="10"/>
    </tableStyle>
  </tableStyles>
  <colors>
    <mruColors>
      <color rgb="FF8FF9DD"/>
      <color rgb="FF15F3B9"/>
      <color rgb="FF088A71"/>
      <color rgb="FF00FFCC"/>
      <color rgb="FF0D66F7"/>
      <color rgb="FFE13215"/>
      <color rgb="FFF7AFAD"/>
      <color rgb="FF06DCC8"/>
      <color rgb="FFF75F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6" tint="0.39994506668294322"/>
              <bgColor rgb="FF15F3B9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patternFill patternType="solid">
              <fgColor auto="1"/>
              <bgColor rgb="FF00FFCC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microsoft.com/office/2011/relationships/timelineCache" Target="timelineCaches/timeline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[Cineam Ticket price.xlsx]Sheet2!PivotTable7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1321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D66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6DCC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Optimized Revenue</c:v>
                </c:pt>
              </c:strCache>
            </c:strRef>
          </c:tx>
          <c:spPr>
            <a:solidFill>
              <a:srgbClr val="E13215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Apr</c:v>
                </c:pt>
                <c:pt idx="1">
                  <c:v>Feb</c:v>
                </c:pt>
                <c:pt idx="2">
                  <c:v>May</c:v>
                </c:pt>
                <c:pt idx="3">
                  <c:v>Mar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Sheet2!$B$4:$B$10</c:f>
              <c:numCache>
                <c:formatCode>_-[$₦-469]\ * #,##0.00_-;\-[$₦-469]\ * #,##0.00_-;_-[$₦-469]\ * "-"??_-;_-@_-</c:formatCode>
                <c:ptCount val="6"/>
                <c:pt idx="0">
                  <c:v>10504000</c:v>
                </c:pt>
                <c:pt idx="1">
                  <c:v>5787500</c:v>
                </c:pt>
                <c:pt idx="2">
                  <c:v>5936000</c:v>
                </c:pt>
                <c:pt idx="3">
                  <c:v>5449000</c:v>
                </c:pt>
                <c:pt idx="4">
                  <c:v>6815000</c:v>
                </c:pt>
                <c:pt idx="5">
                  <c:v>6170500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7-40AE-B446-94FD49F16DF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Fixed         Revenue </c:v>
                </c:pt>
              </c:strCache>
            </c:strRef>
          </c:tx>
          <c:spPr>
            <a:solidFill>
              <a:srgbClr val="0D66F7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Apr</c:v>
                </c:pt>
                <c:pt idx="1">
                  <c:v>Feb</c:v>
                </c:pt>
                <c:pt idx="2">
                  <c:v>May</c:v>
                </c:pt>
                <c:pt idx="3">
                  <c:v>Mar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Sheet2!$C$4:$C$10</c:f>
              <c:numCache>
                <c:formatCode>_-[$₦-469]\ * #,##0.00_-;\-[$₦-469]\ * #,##0.00_-;_-[$₦-469]\ * "-"??_-;_-@_-</c:formatCode>
                <c:ptCount val="6"/>
                <c:pt idx="0">
                  <c:v>10998000</c:v>
                </c:pt>
                <c:pt idx="1">
                  <c:v>6277500</c:v>
                </c:pt>
                <c:pt idx="2">
                  <c:v>6421500</c:v>
                </c:pt>
                <c:pt idx="3">
                  <c:v>5926500</c:v>
                </c:pt>
                <c:pt idx="4">
                  <c:v>7110000</c:v>
                </c:pt>
                <c:pt idx="5">
                  <c:v>6430500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7-40AE-B446-94FD49F16DF4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Full Demand Revenue</c:v>
                </c:pt>
              </c:strCache>
            </c:strRef>
          </c:tx>
          <c:spPr>
            <a:solidFill>
              <a:srgbClr val="06DCC8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Apr</c:v>
                </c:pt>
                <c:pt idx="1">
                  <c:v>Feb</c:v>
                </c:pt>
                <c:pt idx="2">
                  <c:v>May</c:v>
                </c:pt>
                <c:pt idx="3">
                  <c:v>Mar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Sheet2!$D$4:$D$10</c:f>
              <c:numCache>
                <c:formatCode>_-[$₦-469]\ * #,##0.00_-;\-[$₦-469]\ * #,##0.00_-;_-[$₦-469]\ * "-"??_-;_-@_-</c:formatCode>
                <c:ptCount val="6"/>
                <c:pt idx="0">
                  <c:v>10504000</c:v>
                </c:pt>
                <c:pt idx="1">
                  <c:v>7075000</c:v>
                </c:pt>
                <c:pt idx="2">
                  <c:v>7010000</c:v>
                </c:pt>
                <c:pt idx="3">
                  <c:v>6907000</c:v>
                </c:pt>
                <c:pt idx="4">
                  <c:v>5552000</c:v>
                </c:pt>
                <c:pt idx="5">
                  <c:v>5311500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7-40AE-B446-94FD49F16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803328"/>
        <c:axId val="1952804768"/>
      </c:barChart>
      <c:catAx>
        <c:axId val="19528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04768"/>
        <c:crosses val="autoZero"/>
        <c:auto val="1"/>
        <c:lblAlgn val="ctr"/>
        <c:lblOffset val="100"/>
        <c:noMultiLvlLbl val="0"/>
      </c:catAx>
      <c:valAx>
        <c:axId val="19528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9]\ * #,##0.00_-;\-[$₦-469]\ * #,##0.00_-;_-[$₦-469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0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[Cineam Ticket price.xlsx]Sheet2!PivotTable8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D66F7"/>
                </a:solidFill>
              </a:rPr>
              <a:t>Ticket</a:t>
            </a:r>
            <a:r>
              <a:rPr lang="en-US" baseline="0">
                <a:solidFill>
                  <a:srgbClr val="0D66F7"/>
                </a:solidFill>
              </a:rPr>
              <a:t> sold Monthly</a:t>
            </a:r>
            <a:r>
              <a:rPr lang="en-US" baseline="0"/>
              <a:t>	</a:t>
            </a:r>
            <a:endParaRPr lang="en-US"/>
          </a:p>
        </c:rich>
      </c:tx>
      <c:layout>
        <c:manualLayout>
          <c:xMode val="edge"/>
          <c:yMode val="edge"/>
          <c:x val="0.13777184046844373"/>
          <c:y val="3.408069342135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1321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7AFAD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0D66F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088A7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FFC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1321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9-4ACB-95FD-DD2FDFCF80F9}"/>
              </c:ext>
            </c:extLst>
          </c:dPt>
          <c:dPt>
            <c:idx val="1"/>
            <c:bubble3D val="0"/>
            <c:spPr>
              <a:solidFill>
                <a:srgbClr val="F7AFA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9-4ACB-95FD-DD2FDFCF80F9}"/>
              </c:ext>
            </c:extLst>
          </c:dPt>
          <c:dPt>
            <c:idx val="2"/>
            <c:bubble3D val="0"/>
            <c:spPr>
              <a:solidFill>
                <a:srgbClr val="0D66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39-4ACB-95FD-DD2FDFCF80F9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39-4ACB-95FD-DD2FDFCF80F9}"/>
              </c:ext>
            </c:extLst>
          </c:dPt>
          <c:dPt>
            <c:idx val="4"/>
            <c:bubble3D val="0"/>
            <c:spPr>
              <a:solidFill>
                <a:srgbClr val="088A7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39-4ACB-95FD-DD2FDFCF80F9}"/>
              </c:ext>
            </c:extLst>
          </c:dPt>
          <c:dPt>
            <c:idx val="5"/>
            <c:bubble3D val="0"/>
            <c:spPr>
              <a:solidFill>
                <a:srgbClr val="00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39-4ACB-95FD-DD2FDFCF80F9}"/>
              </c:ext>
            </c:extLst>
          </c:dPt>
          <c:cat>
            <c:strRef>
              <c:f>Sheet2!$A$15:$A$21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Sheet2!$B$15:$B$21</c:f>
              <c:numCache>
                <c:formatCode>General</c:formatCode>
                <c:ptCount val="6"/>
                <c:pt idx="0">
                  <c:v>1395</c:v>
                </c:pt>
                <c:pt idx="1">
                  <c:v>1317</c:v>
                </c:pt>
                <c:pt idx="2">
                  <c:v>2444</c:v>
                </c:pt>
                <c:pt idx="3">
                  <c:v>1427</c:v>
                </c:pt>
                <c:pt idx="4">
                  <c:v>1580</c:v>
                </c:pt>
                <c:pt idx="5">
                  <c:v>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39-4ACB-95FD-DD2FDFCF8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[Cineam Ticket price.xlsx]Sheet2!PivotTable9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D66F7"/>
                </a:solidFill>
              </a:rPr>
              <a:t>Monthly</a:t>
            </a:r>
            <a:r>
              <a:rPr lang="en-US" baseline="0">
                <a:solidFill>
                  <a:srgbClr val="0D66F7"/>
                </a:solidFill>
              </a:rPr>
              <a:t> Demand/Orders</a:t>
            </a:r>
            <a:r>
              <a:rPr lang="en-US" baseline="0"/>
              <a:t>	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66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66F7"/>
            </a:solidFill>
            <a:ln>
              <a:noFill/>
            </a:ln>
            <a:effectLst/>
          </c:spPr>
          <c:invertIfNegative val="0"/>
          <c:cat>
            <c:strRef>
              <c:f>Sheet2!$D$15:$D$21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Sheet2!$E$15:$E$21</c:f>
              <c:numCache>
                <c:formatCode>General</c:formatCode>
                <c:ptCount val="6"/>
                <c:pt idx="0">
                  <c:v>1714</c:v>
                </c:pt>
                <c:pt idx="1">
                  <c:v>1668</c:v>
                </c:pt>
                <c:pt idx="2">
                  <c:v>2464</c:v>
                </c:pt>
                <c:pt idx="3">
                  <c:v>1697</c:v>
                </c:pt>
                <c:pt idx="4">
                  <c:v>1301</c:v>
                </c:pt>
                <c:pt idx="5">
                  <c:v>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1-4198-969E-4FA48E17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809776"/>
        <c:axId val="1964826096"/>
      </c:barChart>
      <c:catAx>
        <c:axId val="196480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26096"/>
        <c:crosses val="autoZero"/>
        <c:auto val="1"/>
        <c:lblAlgn val="ctr"/>
        <c:lblOffset val="100"/>
        <c:noMultiLvlLbl val="0"/>
      </c:catAx>
      <c:valAx>
        <c:axId val="19648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0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[Cineam Ticket price.xlsx]Sheet2!PivotTable10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D66F7"/>
                </a:solidFill>
              </a:rPr>
              <a:t>Profit/Loss for Unmet</a:t>
            </a:r>
            <a:r>
              <a:rPr lang="en-US" baseline="0">
                <a:solidFill>
                  <a:srgbClr val="0D66F7"/>
                </a:solidFill>
              </a:rPr>
              <a:t> Demands</a:t>
            </a:r>
            <a:r>
              <a:rPr lang="en-US">
                <a:solidFill>
                  <a:srgbClr val="0D66F7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D66F7"/>
          </a:solidFill>
          <a:ln>
            <a:noFill/>
          </a:ln>
          <a:effectLst/>
        </c:spPr>
      </c:pivotFmt>
      <c:pivotFmt>
        <c:idx val="4"/>
        <c:spPr>
          <a:solidFill>
            <a:srgbClr val="0D66F7"/>
          </a:solidFill>
          <a:ln>
            <a:noFill/>
          </a:ln>
          <a:effectLst/>
        </c:spPr>
      </c:pivotFmt>
      <c:pivotFmt>
        <c:idx val="5"/>
        <c:spPr>
          <a:solidFill>
            <a:srgbClr val="00FFCC"/>
          </a:solidFill>
          <a:ln>
            <a:noFill/>
          </a:ln>
          <a:effectLst/>
        </c:spPr>
      </c:pivotFmt>
      <c:pivotFmt>
        <c:idx val="6"/>
        <c:spPr>
          <a:solidFill>
            <a:srgbClr val="00FFCC"/>
          </a:solidFill>
          <a:ln>
            <a:noFill/>
          </a:ln>
          <a:effectLst/>
        </c:spPr>
      </c:pivotFmt>
      <c:pivotFmt>
        <c:idx val="7"/>
        <c:spPr>
          <a:solidFill>
            <a:srgbClr val="00FFC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D66F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8F-41FB-8956-CF4EECD13975}"/>
              </c:ext>
            </c:extLst>
          </c:dPt>
          <c:dPt>
            <c:idx val="1"/>
            <c:invertIfNegative val="0"/>
            <c:bubble3D val="0"/>
            <c:spPr>
              <a:solidFill>
                <a:srgbClr val="0D66F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8F-41FB-8956-CF4EECD13975}"/>
              </c:ext>
            </c:extLst>
          </c:dPt>
          <c:cat>
            <c:strRef>
              <c:f>Sheet2!$F$4:$F$10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Apr</c:v>
                </c:pt>
                <c:pt idx="3">
                  <c:v>May</c:v>
                </c:pt>
                <c:pt idx="4">
                  <c:v>Feb</c:v>
                </c:pt>
                <c:pt idx="5">
                  <c:v>Mar</c:v>
                </c:pt>
              </c:strCache>
            </c:strRef>
          </c:cat>
          <c:val>
            <c:numRef>
              <c:f>Sheet2!$G$4:$G$10</c:f>
              <c:numCache>
                <c:formatCode>_-[$₦-469]\ * #,##0.00_-;\-[$₦-469]\ * #,##0.00_-;_-[$₦-469]\ * "-"??_-;_-@_-</c:formatCode>
                <c:ptCount val="6"/>
                <c:pt idx="0">
                  <c:v>1263000</c:v>
                </c:pt>
                <c:pt idx="1">
                  <c:v>859000</c:v>
                </c:pt>
                <c:pt idx="2">
                  <c:v>0</c:v>
                </c:pt>
                <c:pt idx="3">
                  <c:v>-1074000</c:v>
                </c:pt>
                <c:pt idx="4">
                  <c:v>-1287500</c:v>
                </c:pt>
                <c:pt idx="5">
                  <c:v>-1458000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4-472C-91CA-7542599FE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886832"/>
        <c:axId val="1720898832"/>
      </c:barChart>
      <c:catAx>
        <c:axId val="172088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98832"/>
        <c:crosses val="autoZero"/>
        <c:auto val="1"/>
        <c:lblAlgn val="ctr"/>
        <c:lblOffset val="100"/>
        <c:noMultiLvlLbl val="0"/>
      </c:catAx>
      <c:valAx>
        <c:axId val="17208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9]\ * #,##0.00_-;\-[$₦-469]\ * #,##0.00_-;_-[$₦-469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8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[Cineam Ticket price.xlsx]Sheet2!PivotTable11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D66F7"/>
                </a:solidFill>
              </a:rPr>
              <a:t>Profit</a:t>
            </a:r>
            <a:r>
              <a:rPr lang="en-US" baseline="0">
                <a:solidFill>
                  <a:srgbClr val="0D66F7"/>
                </a:solidFill>
              </a:rPr>
              <a:t>/Loss for Price not Optimized</a:t>
            </a:r>
            <a:r>
              <a:rPr lang="en-US" baseline="0"/>
              <a:t>	</a:t>
            </a:r>
            <a:endParaRPr lang="en-US"/>
          </a:p>
        </c:rich>
      </c:tx>
      <c:layout>
        <c:manualLayout>
          <c:xMode val="edge"/>
          <c:yMode val="edge"/>
          <c:x val="0.16902022074260217"/>
          <c:y val="3.3333347914850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D66F7"/>
            </a:solidFill>
            <a:round/>
          </a:ln>
          <a:effectLst/>
        </c:spPr>
        <c:marker>
          <c:symbol val="circle"/>
          <c:size val="5"/>
          <c:spPr>
            <a:solidFill>
              <a:srgbClr val="00FFCC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FFCC"/>
            </a:solidFill>
            <a:round/>
          </a:ln>
          <a:effectLst/>
        </c:spPr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D66F7"/>
            </a:solidFill>
            <a:round/>
          </a:ln>
          <a:effectLst/>
        </c:spPr>
        <c:marker>
          <c:symbol val="circle"/>
          <c:size val="5"/>
          <c:spPr>
            <a:solidFill>
              <a:srgbClr val="00FFCC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0D66F7"/>
            </a:solidFill>
            <a:round/>
          </a:ln>
          <a:effectLst/>
        </c:spPr>
        <c:marker>
          <c:symbol val="circle"/>
          <c:size val="5"/>
          <c:spPr>
            <a:solidFill>
              <a:srgbClr val="00FFCC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</c:pivotFmt>
    </c:pivotFmts>
    <c:plotArea>
      <c:layout>
        <c:manualLayout>
          <c:layoutTarget val="inner"/>
          <c:xMode val="edge"/>
          <c:yMode val="edge"/>
          <c:x val="0.2592478077162122"/>
          <c:y val="0.20050008770782493"/>
          <c:w val="0.70758720823954002"/>
          <c:h val="0.66550947747571199"/>
        </c:manualLayout>
      </c:layout>
      <c:lineChart>
        <c:grouping val="standard"/>
        <c:varyColors val="0"/>
        <c:ser>
          <c:idx val="0"/>
          <c:order val="0"/>
          <c:tx>
            <c:strRef>
              <c:f>Sheet2!$H$14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D66F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CC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Sheet2!$G$15:$G$21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Sheet2!$H$15:$H$21</c:f>
              <c:numCache>
                <c:formatCode>_-[$₦-469]\ * #,##0.00_-;\-[$₦-469]\ * #,##0.00_-;_-[$₦-469]\ * "-"??_-;_-@_-</c:formatCode>
                <c:ptCount val="6"/>
                <c:pt idx="0">
                  <c:v>7075000</c:v>
                </c:pt>
                <c:pt idx="1">
                  <c:v>6907000</c:v>
                </c:pt>
                <c:pt idx="2">
                  <c:v>10504000</c:v>
                </c:pt>
                <c:pt idx="3">
                  <c:v>7010000</c:v>
                </c:pt>
                <c:pt idx="4">
                  <c:v>5552000</c:v>
                </c:pt>
                <c:pt idx="5">
                  <c:v>5311500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C2-42FE-B99E-B17405542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146208"/>
        <c:axId val="1916121728"/>
      </c:lineChart>
      <c:catAx>
        <c:axId val="19161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21728"/>
        <c:crosses val="autoZero"/>
        <c:auto val="1"/>
        <c:lblAlgn val="ctr"/>
        <c:lblOffset val="100"/>
        <c:noMultiLvlLbl val="0"/>
      </c:catAx>
      <c:valAx>
        <c:axId val="1916121728"/>
        <c:scaling>
          <c:orientation val="minMax"/>
        </c:scaling>
        <c:delete val="0"/>
        <c:axPos val="l"/>
        <c:numFmt formatCode="_-[$₦-469]\ * #,##0.00_-;\-[$₦-469]\ * #,##0.00_-;_-[$₦-469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46208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549563</xdr:colOff>
      <xdr:row>1</xdr:row>
      <xdr:rowOff>58903</xdr:rowOff>
    </xdr:from>
    <xdr:to>
      <xdr:col>24</xdr:col>
      <xdr:colOff>109032</xdr:colOff>
      <xdr:row>31</xdr:row>
      <xdr:rowOff>94622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25A98D6-F982-6F4C-F8D7-80F7ABAE1DFB}"/>
            </a:ext>
          </a:extLst>
        </xdr:cNvPr>
        <xdr:cNvSpPr/>
      </xdr:nvSpPr>
      <xdr:spPr>
        <a:xfrm>
          <a:off x="3006010" y="246896"/>
          <a:ext cx="11841706" cy="5675522"/>
        </a:xfrm>
        <a:prstGeom prst="roundRect">
          <a:avLst>
            <a:gd name="adj" fmla="val 2546"/>
          </a:avLst>
        </a:prstGeom>
        <a:solidFill>
          <a:schemeClr val="bg2"/>
        </a:solidFill>
        <a:ln w="12700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578641</xdr:colOff>
      <xdr:row>19</xdr:row>
      <xdr:rowOff>31750</xdr:rowOff>
    </xdr:from>
    <xdr:to>
      <xdr:col>17</xdr:col>
      <xdr:colOff>259553</xdr:colOff>
      <xdr:row>31</xdr:row>
      <xdr:rowOff>23812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8C78DF3-60BE-4193-B504-EB5AD42F2B27}"/>
            </a:ext>
          </a:extLst>
        </xdr:cNvPr>
        <xdr:cNvSpPr/>
      </xdr:nvSpPr>
      <xdr:spPr>
        <a:xfrm>
          <a:off x="7817641" y="3651250"/>
          <a:ext cx="2697162" cy="2278062"/>
        </a:xfrm>
        <a:prstGeom prst="roundRect">
          <a:avLst>
            <a:gd name="adj" fmla="val 5858"/>
          </a:avLst>
        </a:prstGeom>
        <a:solidFill>
          <a:schemeClr val="bg1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261937</xdr:colOff>
      <xdr:row>6</xdr:row>
      <xdr:rowOff>175460</xdr:rowOff>
    </xdr:from>
    <xdr:to>
      <xdr:col>17</xdr:col>
      <xdr:colOff>214312</xdr:colOff>
      <xdr:row>18</xdr:row>
      <xdr:rowOff>158747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D847AD1-7041-4AC7-8BB8-C353E7116D31}"/>
            </a:ext>
          </a:extLst>
        </xdr:cNvPr>
        <xdr:cNvSpPr/>
      </xdr:nvSpPr>
      <xdr:spPr>
        <a:xfrm>
          <a:off x="5160508" y="1318460"/>
          <a:ext cx="5463268" cy="2269287"/>
        </a:xfrm>
        <a:prstGeom prst="roundRect">
          <a:avLst>
            <a:gd name="adj" fmla="val 5858"/>
          </a:avLst>
        </a:prstGeom>
        <a:solidFill>
          <a:schemeClr val="bg1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>
              <a:solidFill>
                <a:srgbClr val="0D66F7"/>
              </a:solidFill>
              <a:latin typeface="+mn-lt"/>
              <a:ea typeface="+mn-ea"/>
              <a:cs typeface="+mn-cs"/>
            </a:rPr>
            <a:t>Monthly</a:t>
          </a:r>
          <a:r>
            <a:rPr lang="en-US" sz="1600" baseline="0">
              <a:solidFill>
                <a:srgbClr val="0D66F7"/>
              </a:solidFill>
              <a:latin typeface="+mn-lt"/>
              <a:ea typeface="+mn-ea"/>
              <a:cs typeface="+mn-cs"/>
            </a:rPr>
            <a:t> Rvenue</a:t>
          </a:r>
          <a:endParaRPr lang="en-US" sz="1600">
            <a:solidFill>
              <a:srgbClr val="0D66F7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313323</xdr:colOff>
      <xdr:row>1</xdr:row>
      <xdr:rowOff>162092</xdr:rowOff>
    </xdr:from>
    <xdr:to>
      <xdr:col>23</xdr:col>
      <xdr:colOff>584656</xdr:colOff>
      <xdr:row>18</xdr:row>
      <xdr:rowOff>47000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58A2FC3-3F88-49CA-AC45-AEFED298CC2C}"/>
            </a:ext>
          </a:extLst>
        </xdr:cNvPr>
        <xdr:cNvSpPr/>
      </xdr:nvSpPr>
      <xdr:spPr>
        <a:xfrm>
          <a:off x="10753224" y="350085"/>
          <a:ext cx="3956004" cy="3080797"/>
        </a:xfrm>
        <a:prstGeom prst="roundRect">
          <a:avLst>
            <a:gd name="adj" fmla="val 5858"/>
          </a:avLst>
        </a:prstGeom>
        <a:solidFill>
          <a:schemeClr val="bg1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358438</xdr:colOff>
      <xdr:row>18</xdr:row>
      <xdr:rowOff>112797</xdr:rowOff>
    </xdr:from>
    <xdr:to>
      <xdr:col>23</xdr:col>
      <xdr:colOff>594183</xdr:colOff>
      <xdr:row>31</xdr:row>
      <xdr:rowOff>23815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6A1FBC7-46B9-44A3-8DF0-B8CCA66CAE3C}"/>
            </a:ext>
          </a:extLst>
        </xdr:cNvPr>
        <xdr:cNvSpPr/>
      </xdr:nvSpPr>
      <xdr:spPr>
        <a:xfrm>
          <a:off x="10798339" y="3496679"/>
          <a:ext cx="3920416" cy="2354932"/>
        </a:xfrm>
        <a:prstGeom prst="roundRect">
          <a:avLst>
            <a:gd name="adj" fmla="val 5858"/>
          </a:avLst>
        </a:prstGeom>
        <a:solidFill>
          <a:schemeClr val="bg1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58279</xdr:colOff>
      <xdr:row>1</xdr:row>
      <xdr:rowOff>156036</xdr:rowOff>
    </xdr:from>
    <xdr:to>
      <xdr:col>8</xdr:col>
      <xdr:colOff>200526</xdr:colOff>
      <xdr:row>8</xdr:row>
      <xdr:rowOff>75197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4F5B8CE-D8ED-48B6-AD67-C8EEF591BFB7}"/>
            </a:ext>
          </a:extLst>
        </xdr:cNvPr>
        <xdr:cNvSpPr/>
      </xdr:nvSpPr>
      <xdr:spPr>
        <a:xfrm>
          <a:off x="3119886" y="346536"/>
          <a:ext cx="1979211" cy="1252661"/>
        </a:xfrm>
        <a:prstGeom prst="roundRect">
          <a:avLst>
            <a:gd name="adj" fmla="val 5858"/>
          </a:avLst>
        </a:prstGeom>
        <a:solidFill>
          <a:srgbClr val="0D66F7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en-US" sz="1400" b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LOGIX</a:t>
          </a:r>
          <a:r>
            <a:rPr lang="en-US" sz="1400" b="0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CINEMA </a:t>
          </a:r>
          <a:r>
            <a:rPr lang="en-US" sz="1000" b="0" baseline="0">
              <a:latin typeface="Abadi" panose="020B0604020104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TICKECT OPTIMIZATION </a:t>
          </a:r>
        </a:p>
        <a:p>
          <a:pPr lvl="1" algn="l"/>
          <a:r>
            <a:rPr lang="en-US" sz="1000" b="0" baseline="0">
              <a:latin typeface="Abadi" panose="020B0604020104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ANALYSIS</a:t>
          </a:r>
          <a:endParaRPr lang="en-US" sz="1000" b="0">
            <a:latin typeface="Abadi" panose="020B0604020104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8</xdr:col>
      <xdr:colOff>263190</xdr:colOff>
      <xdr:row>19</xdr:row>
      <xdr:rowOff>31750</xdr:rowOff>
    </xdr:from>
    <xdr:to>
      <xdr:col>12</xdr:col>
      <xdr:colOff>519108</xdr:colOff>
      <xdr:row>31</xdr:row>
      <xdr:rowOff>9526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80FC769A-EA75-40C0-9170-F60B31D0700C}"/>
            </a:ext>
          </a:extLst>
        </xdr:cNvPr>
        <xdr:cNvSpPr/>
      </xdr:nvSpPr>
      <xdr:spPr>
        <a:xfrm>
          <a:off x="5176085" y="3603625"/>
          <a:ext cx="2712365" cy="2233697"/>
        </a:xfrm>
        <a:prstGeom prst="roundRect">
          <a:avLst>
            <a:gd name="adj" fmla="val 5858"/>
          </a:avLst>
        </a:prstGeom>
        <a:solidFill>
          <a:schemeClr val="bg1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357187</xdr:colOff>
      <xdr:row>8</xdr:row>
      <xdr:rowOff>11906</xdr:rowOff>
    </xdr:from>
    <xdr:to>
      <xdr:col>17</xdr:col>
      <xdr:colOff>202405</xdr:colOff>
      <xdr:row>18</xdr:row>
      <xdr:rowOff>121569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20E2A1B-5A3B-4887-9FB5-1CFB5A3B8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257968</xdr:colOff>
      <xdr:row>1</xdr:row>
      <xdr:rowOff>158750</xdr:rowOff>
    </xdr:from>
    <xdr:to>
      <xdr:col>17</xdr:col>
      <xdr:colOff>188912</xdr:colOff>
      <xdr:row>6</xdr:row>
      <xdr:rowOff>75197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0" name="Date">
              <a:extLst>
                <a:ext uri="{FF2B5EF4-FFF2-40B4-BE49-F238E27FC236}">
                  <a16:creationId xmlns:a16="http://schemas.microsoft.com/office/drawing/2014/main" id="{8B4A1C4F-8440-546F-B933-FCE9D35CA2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5718" y="349250"/>
              <a:ext cx="5395913" cy="8689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5</xdr:col>
      <xdr:colOff>41234</xdr:colOff>
      <xdr:row>8</xdr:row>
      <xdr:rowOff>168944</xdr:rowOff>
    </xdr:from>
    <xdr:to>
      <xdr:col>8</xdr:col>
      <xdr:colOff>183481</xdr:colOff>
      <xdr:row>14</xdr:row>
      <xdr:rowOff>20553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C047C0A4-BF82-4CA8-B37F-2953EAAC61C8}"/>
            </a:ext>
          </a:extLst>
        </xdr:cNvPr>
        <xdr:cNvSpPr/>
      </xdr:nvSpPr>
      <xdr:spPr>
        <a:xfrm>
          <a:off x="3111793" y="1672891"/>
          <a:ext cx="1984583" cy="979570"/>
        </a:xfrm>
        <a:prstGeom prst="roundRect">
          <a:avLst>
            <a:gd name="adj" fmla="val 5858"/>
          </a:avLst>
        </a:prstGeom>
        <a:solidFill>
          <a:srgbClr val="00FFCC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Total Optimized Revenue</a:t>
          </a:r>
        </a:p>
        <a:p>
          <a:pPr algn="ctr"/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₦ 40,662,000.00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162927</xdr:colOff>
      <xdr:row>19</xdr:row>
      <xdr:rowOff>75196</xdr:rowOff>
    </xdr:from>
    <xdr:to>
      <xdr:col>12</xdr:col>
      <xdr:colOff>538914</xdr:colOff>
      <xdr:row>31</xdr:row>
      <xdr:rowOff>25066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64E9797-707E-40B3-993C-829931D7C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12533</xdr:colOff>
      <xdr:row>19</xdr:row>
      <xdr:rowOff>100263</xdr:rowOff>
    </xdr:from>
    <xdr:to>
      <xdr:col>17</xdr:col>
      <xdr:colOff>213061</xdr:colOff>
      <xdr:row>30</xdr:row>
      <xdr:rowOff>157244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D5968B6-CACF-48CC-BCFE-FF25618EC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313323</xdr:colOff>
      <xdr:row>1</xdr:row>
      <xdr:rowOff>162092</xdr:rowOff>
    </xdr:from>
    <xdr:to>
      <xdr:col>23</xdr:col>
      <xdr:colOff>576514</xdr:colOff>
      <xdr:row>17</xdr:row>
      <xdr:rowOff>62665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84E93E5-176E-469F-8C76-4AAA2A256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358438</xdr:colOff>
      <xdr:row>18</xdr:row>
      <xdr:rowOff>112797</xdr:rowOff>
    </xdr:from>
    <xdr:to>
      <xdr:col>23</xdr:col>
      <xdr:colOff>513849</xdr:colOff>
      <xdr:row>30</xdr:row>
      <xdr:rowOff>112796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2FCCF2AF-4529-442E-9645-FE3A73FB8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136072</xdr:colOff>
      <xdr:row>3</xdr:row>
      <xdr:rowOff>40821</xdr:rowOff>
    </xdr:from>
    <xdr:to>
      <xdr:col>6</xdr:col>
      <xdr:colOff>21932</xdr:colOff>
      <xdr:row>7</xdr:row>
      <xdr:rowOff>20545</xdr:rowOff>
    </xdr:to>
    <xdr:pic>
      <xdr:nvPicPr>
        <xdr:cNvPr id="47" name="Graphic 46" descr="Film strip outline">
          <a:extLst>
            <a:ext uri="{FF2B5EF4-FFF2-40B4-BE49-F238E27FC236}">
              <a16:creationId xmlns:a16="http://schemas.microsoft.com/office/drawing/2014/main" id="{69C9C330-B2A7-C73D-D02F-DD799802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197679" y="612321"/>
          <a:ext cx="498182" cy="741724"/>
        </a:xfrm>
        <a:prstGeom prst="rect">
          <a:avLst/>
        </a:prstGeom>
      </xdr:spPr>
    </xdr:pic>
    <xdr:clientData/>
  </xdr:twoCellAnchor>
  <xdr:twoCellAnchor>
    <xdr:from>
      <xdr:col>5</xdr:col>
      <xdr:colOff>13607</xdr:colOff>
      <xdr:row>25</xdr:row>
      <xdr:rowOff>136070</xdr:rowOff>
    </xdr:from>
    <xdr:to>
      <xdr:col>8</xdr:col>
      <xdr:colOff>155854</xdr:colOff>
      <xdr:row>30</xdr:row>
      <xdr:rowOff>178179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025A05BA-CCF9-41DC-A043-00B4B6900D81}"/>
            </a:ext>
          </a:extLst>
        </xdr:cNvPr>
        <xdr:cNvSpPr/>
      </xdr:nvSpPr>
      <xdr:spPr>
        <a:xfrm>
          <a:off x="3075214" y="4898570"/>
          <a:ext cx="1979211" cy="994609"/>
        </a:xfrm>
        <a:prstGeom prst="roundRect">
          <a:avLst>
            <a:gd name="adj" fmla="val 5858"/>
          </a:avLst>
        </a:prstGeom>
        <a:solidFill>
          <a:srgbClr val="00FFCC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Total N</a:t>
          </a:r>
          <a:r>
            <a:rPr lang="en-US" sz="1600" b="0" u="sng">
              <a:solidFill>
                <a:schemeClr val="tx1"/>
              </a:solidFill>
            </a:rPr>
            <a:t>o</a:t>
          </a:r>
          <a:r>
            <a:rPr lang="en-US" sz="1600" b="0" baseline="0">
              <a:solidFill>
                <a:schemeClr val="tx1"/>
              </a:solidFill>
            </a:rPr>
            <a:t> of Ticket sold</a:t>
          </a:r>
          <a:endParaRPr lang="en-US" sz="1600" b="0">
            <a:solidFill>
              <a:schemeClr val="tx1"/>
            </a:solidFill>
          </a:endParaRPr>
        </a:p>
        <a:p>
          <a:pPr algn="ctr"/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9592</a:t>
          </a:r>
          <a:r>
            <a:rPr lang="en-US" sz="1200" b="1">
              <a:solidFill>
                <a:schemeClr val="tx1"/>
              </a:solidFill>
              <a:effectLst/>
            </a:rPr>
            <a:t>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50186</xdr:colOff>
      <xdr:row>14</xdr:row>
      <xdr:rowOff>94462</xdr:rowOff>
    </xdr:from>
    <xdr:to>
      <xdr:col>8</xdr:col>
      <xdr:colOff>192433</xdr:colOff>
      <xdr:row>19</xdr:row>
      <xdr:rowOff>136571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76CC1949-213E-436F-BDF5-185337C6198C}"/>
            </a:ext>
          </a:extLst>
        </xdr:cNvPr>
        <xdr:cNvSpPr/>
      </xdr:nvSpPr>
      <xdr:spPr>
        <a:xfrm>
          <a:off x="3111793" y="2761462"/>
          <a:ext cx="1979211" cy="994609"/>
        </a:xfrm>
        <a:prstGeom prst="roundRect">
          <a:avLst>
            <a:gd name="adj" fmla="val 5858"/>
          </a:avLst>
        </a:prstGeom>
        <a:solidFill>
          <a:srgbClr val="00FFCC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Total Fixed </a:t>
          </a:r>
        </a:p>
        <a:p>
          <a:pPr algn="ctr"/>
          <a:r>
            <a:rPr lang="en-US" sz="1600" b="0">
              <a:solidFill>
                <a:schemeClr val="tx1"/>
              </a:solidFill>
            </a:rPr>
            <a:t>Revenue</a:t>
          </a:r>
        </a:p>
        <a:p>
          <a:pPr algn="ctr"/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₦  43,164,000.00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25693</xdr:colOff>
      <xdr:row>20</xdr:row>
      <xdr:rowOff>29147</xdr:rowOff>
    </xdr:from>
    <xdr:to>
      <xdr:col>8</xdr:col>
      <xdr:colOff>167940</xdr:colOff>
      <xdr:row>25</xdr:row>
      <xdr:rowOff>71256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15042393-1B2F-468F-B6D8-19FF4823571B}"/>
            </a:ext>
          </a:extLst>
        </xdr:cNvPr>
        <xdr:cNvSpPr/>
      </xdr:nvSpPr>
      <xdr:spPr>
        <a:xfrm>
          <a:off x="3087300" y="3839147"/>
          <a:ext cx="1979211" cy="994609"/>
        </a:xfrm>
        <a:prstGeom prst="roundRect">
          <a:avLst>
            <a:gd name="adj" fmla="val 5858"/>
          </a:avLst>
        </a:prstGeom>
        <a:solidFill>
          <a:srgbClr val="00FFCC"/>
        </a:solidFill>
        <a:ln w="952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Total Full</a:t>
          </a:r>
          <a:r>
            <a:rPr lang="en-US" sz="1600" b="0" baseline="0">
              <a:solidFill>
                <a:schemeClr val="tx1"/>
              </a:solidFill>
            </a:rPr>
            <a:t> demand </a:t>
          </a:r>
          <a:r>
            <a:rPr lang="en-US" sz="1600" b="0">
              <a:solidFill>
                <a:schemeClr val="tx1"/>
              </a:solidFill>
            </a:rPr>
            <a:t>Revenue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          </a:t>
          </a:r>
        </a:p>
        <a:p>
          <a:pPr algn="ctr"/>
          <a:endParaRPr lang="en-US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₦  42,359,500.00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33.588289004627" createdVersion="8" refreshedVersion="8" minRefreshableVersion="3" recordCount="20" xr:uid="{367EF8F3-878C-44BE-9E49-B0AF51D7A317}">
  <cacheSource type="worksheet">
    <worksheetSource name="Optimization_of_Ticket_Dataset"/>
  </cacheSource>
  <cacheFields count="12">
    <cacheField name="S/N" numFmtId="0">
      <sharedItems containsSemiMixedTypes="0" containsString="0" containsNumber="1" containsInteger="1" minValue="1" maxValue="20"/>
    </cacheField>
    <cacheField name="Date" numFmtId="14">
      <sharedItems containsSemiMixedTypes="0" containsNonDate="0" containsDate="1" containsString="0" minDate="2026-02-07T00:00:00" maxDate="2026-07-20T00:00:00" count="20">
        <d v="2026-06-19T00:00:00"/>
        <d v="2026-02-18T00:00:00"/>
        <d v="2026-03-04T00:00:00"/>
        <d v="2026-04-29T00:00:00"/>
        <d v="2026-05-30T00:00:00"/>
        <d v="2026-07-19T00:00:00"/>
        <d v="2026-04-20T00:00:00"/>
        <d v="2026-05-21T00:00:00"/>
        <d v="2026-03-26T00:00:00"/>
        <d v="2026-02-23T00:00:00"/>
        <d v="2026-06-13T00:00:00"/>
        <d v="2026-07-12T00:00:00"/>
        <d v="2026-04-17T00:00:00"/>
        <d v="2026-04-30T00:00:00"/>
        <d v="2026-06-05T00:00:00"/>
        <d v="2026-05-10T00:00:00"/>
        <d v="2026-07-07T00:00:00"/>
        <d v="2026-02-07T00:00:00"/>
        <d v="2026-04-26T00:00:00"/>
        <d v="2026-03-15T00:00:00"/>
      </sharedItems>
      <fieldGroup par="11"/>
    </cacheField>
    <cacheField name="Demand/Orders" numFmtId="0">
      <sharedItems containsSemiMixedTypes="0" containsString="0" containsNumber="1" containsInteger="1" minValue="304" maxValue="690"/>
    </cacheField>
    <cacheField name="Price_per_Ticket" numFmtId="44">
      <sharedItems/>
    </cacheField>
    <cacheField name="Tickets_Sold" numFmtId="0">
      <sharedItems containsSemiMixedTypes="0" containsString="0" containsNumber="1" containsInteger="1" minValue="362" maxValue="590"/>
    </cacheField>
    <cacheField name="Optimized Revenue" numFmtId="164">
      <sharedItems containsSemiMixedTypes="0" containsString="0" containsNumber="1" containsInteger="1" minValue="1624000" maxValue="2610000"/>
    </cacheField>
    <cacheField name="Fixed         Revenue " numFmtId="164">
      <sharedItems containsSemiMixedTypes="0" containsString="0" containsNumber="1" containsInteger="1" minValue="1629000" maxValue="2655000"/>
    </cacheField>
    <cacheField name="Full Demand Revenue" numFmtId="164">
      <sharedItems containsSemiMixedTypes="0" containsString="0" containsNumber="1" containsInteger="1" minValue="1368000" maxValue="2760000"/>
    </cacheField>
    <cacheField name="Revenue profit/Loss      (Unmet Demands)" numFmtId="164">
      <sharedItems containsSemiMixedTypes="0" containsString="0" containsNumber="1" containsInteger="1" minValue="-796000" maxValue="1179000"/>
    </cacheField>
    <cacheField name="Revenue profit/Loss      (No price Optimization)" numFmtId="164">
      <sharedItems containsSemiMixedTypes="0" containsString="0" containsNumber="1" containsInteger="1" minValue="0" maxValue="295000"/>
    </cacheField>
    <cacheField name="Days (Date)" numFmtId="0" databaseField="0">
      <fieldGroup base="1">
        <rangePr groupBy="days" startDate="2026-02-07T00:00:00" endDate="2026-07-20T00:00:00"/>
        <groupItems count="368">
          <s v="&lt;2/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0/2026"/>
        </groupItems>
      </fieldGroup>
    </cacheField>
    <cacheField name="Months (Date)" numFmtId="0" databaseField="0">
      <fieldGroup base="1">
        <rangePr groupBy="months" startDate="2026-02-07T00:00:00" endDate="2026-07-20T00:00:00"/>
        <groupItems count="14">
          <s v="&lt;2/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0/2026"/>
        </groupItems>
      </fieldGroup>
    </cacheField>
  </cacheFields>
  <extLst>
    <ext xmlns:x14="http://schemas.microsoft.com/office/spreadsheetml/2009/9/main" uri="{725AE2AE-9491-48be-B2B4-4EB974FC3084}">
      <x14:pivotCacheDefinition pivotCacheId="4192791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5"/>
    <x v="0"/>
    <n v="605"/>
    <s v="4000"/>
    <n v="590"/>
    <n v="2360000"/>
    <n v="2655000"/>
    <n v="2420000"/>
    <n v="-60000"/>
    <n v="295000"/>
  </r>
  <r>
    <n v="2"/>
    <x v="1"/>
    <n v="671"/>
    <s v="4000"/>
    <n v="574"/>
    <n v="2296000"/>
    <n v="2583000"/>
    <n v="2684000"/>
    <n v="-388000"/>
    <n v="287000"/>
  </r>
  <r>
    <n v="4"/>
    <x v="2"/>
    <n v="610"/>
    <s v="4000"/>
    <n v="543"/>
    <n v="2172000"/>
    <n v="2443500"/>
    <n v="2440000"/>
    <n v="-268000"/>
    <n v="271500"/>
  </r>
  <r>
    <n v="9"/>
    <x v="3"/>
    <n v="615"/>
    <s v="4000"/>
    <n v="543"/>
    <n v="2172000"/>
    <n v="2443500"/>
    <n v="2460000"/>
    <n v="-288000"/>
    <n v="271500"/>
  </r>
  <r>
    <n v="12"/>
    <x v="4"/>
    <n v="690"/>
    <s v="4000"/>
    <n v="539"/>
    <n v="2156000"/>
    <n v="2425500"/>
    <n v="2760000"/>
    <n v="-604000"/>
    <n v="269500"/>
  </r>
  <r>
    <n v="19"/>
    <x v="5"/>
    <n v="501"/>
    <s v="4000"/>
    <n v="520"/>
    <n v="2080000"/>
    <n v="2340000"/>
    <n v="2004000"/>
    <n v="76000"/>
    <n v="260000"/>
  </r>
  <r>
    <n v="8"/>
    <x v="6"/>
    <n v="553"/>
    <s v="4000"/>
    <n v="445"/>
    <n v="1780000"/>
    <n v="2002500"/>
    <n v="2212000"/>
    <n v="-432000"/>
    <n v="222500"/>
  </r>
  <r>
    <n v="11"/>
    <x v="7"/>
    <n v="563"/>
    <s v="4000"/>
    <n v="432"/>
    <n v="1728000"/>
    <n v="1944000"/>
    <n v="2252000"/>
    <n v="-524000"/>
    <n v="216000"/>
  </r>
  <r>
    <n v="6"/>
    <x v="8"/>
    <n v="588"/>
    <s v="4000"/>
    <n v="412"/>
    <n v="1648000"/>
    <n v="1854000"/>
    <n v="2352000"/>
    <n v="-704000"/>
    <n v="206000"/>
  </r>
  <r>
    <n v="3"/>
    <x v="9"/>
    <n v="605"/>
    <s v="4000"/>
    <n v="406"/>
    <n v="1624000"/>
    <n v="1827000"/>
    <n v="2420000"/>
    <n v="-796000"/>
    <n v="203000"/>
  </r>
  <r>
    <n v="14"/>
    <x v="10"/>
    <n v="318"/>
    <s v="4500"/>
    <n v="580"/>
    <n v="2610000"/>
    <n v="2610000"/>
    <n v="1431000"/>
    <n v="1179000"/>
    <n v="0"/>
  </r>
  <r>
    <n v="18"/>
    <x v="11"/>
    <n v="304"/>
    <s v="4500"/>
    <n v="498"/>
    <n v="2241000"/>
    <n v="2241000"/>
    <n v="1368000"/>
    <n v="873000"/>
    <n v="0"/>
  </r>
  <r>
    <n v="7"/>
    <x v="12"/>
    <n v="366"/>
    <s v="4500"/>
    <n v="527"/>
    <n v="2371500"/>
    <n v="2371500"/>
    <n v="1647000"/>
    <n v="724500"/>
    <n v="0"/>
  </r>
  <r>
    <n v="20"/>
    <x v="13"/>
    <n v="463"/>
    <s v="4500"/>
    <n v="565"/>
    <n v="2542500"/>
    <n v="2542500"/>
    <n v="2083500"/>
    <n v="459000"/>
    <n v="0"/>
  </r>
  <r>
    <n v="13"/>
    <x v="14"/>
    <n v="378"/>
    <s v="4500"/>
    <n v="410"/>
    <n v="1845000"/>
    <n v="1845000"/>
    <n v="1701000"/>
    <n v="144000"/>
    <n v="0"/>
  </r>
  <r>
    <n v="10"/>
    <x v="15"/>
    <n v="444"/>
    <s v="4500"/>
    <n v="456"/>
    <n v="2052000"/>
    <n v="2052000"/>
    <n v="1998000"/>
    <n v="54000"/>
    <n v="0"/>
  </r>
  <r>
    <n v="17"/>
    <x v="16"/>
    <n v="431"/>
    <s v="4500"/>
    <n v="411"/>
    <n v="1849500"/>
    <n v="1849500"/>
    <n v="1939500"/>
    <n v="-90000"/>
    <n v="0"/>
  </r>
  <r>
    <n v="1"/>
    <x v="17"/>
    <n v="438"/>
    <s v="4500"/>
    <n v="415"/>
    <n v="1867500"/>
    <n v="1867500"/>
    <n v="1971000"/>
    <n v="-103500"/>
    <n v="0"/>
  </r>
  <r>
    <n v="16"/>
    <x v="18"/>
    <n v="467"/>
    <s v="4500"/>
    <n v="364"/>
    <n v="1638000"/>
    <n v="1638000"/>
    <n v="2101500"/>
    <n v="-463500"/>
    <n v="0"/>
  </r>
  <r>
    <n v="5"/>
    <x v="19"/>
    <n v="470"/>
    <s v="4500"/>
    <n v="362"/>
    <n v="1629000"/>
    <n v="1629000"/>
    <n v="2115000"/>
    <n v="-486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54BCC-6CF2-4D7A-AFC7-F614D25BED96}" name="PivotTable1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2">
  <location ref="G14:H21" firstHeaderRow="1" firstDataRow="1" firstDataCol="1"/>
  <pivotFields count="12">
    <pivotField showAll="0"/>
    <pivotField axis="axisRow" numFmtId="14" showAll="0">
      <items count="21">
        <item x="17"/>
        <item x="1"/>
        <item x="9"/>
        <item x="2"/>
        <item x="19"/>
        <item x="8"/>
        <item x="12"/>
        <item x="6"/>
        <item x="18"/>
        <item x="3"/>
        <item x="13"/>
        <item x="15"/>
        <item x="7"/>
        <item x="4"/>
        <item x="14"/>
        <item x="10"/>
        <item x="0"/>
        <item x="16"/>
        <item x="11"/>
        <item x="5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1"/>
    <field x="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Full Demand Revenue" fld="7" baseField="0" baseItem="0" numFmtId="164"/>
  </dataFields>
  <chartFormats count="2"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62" name="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1F7E1-50F5-42A7-B905-C42FC909D728}" name="PivotTable10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9">
  <location ref="F3:G10" firstHeaderRow="1" firstDataRow="1" firstDataCol="1"/>
  <pivotFields count="12">
    <pivotField showAll="0"/>
    <pivotField axis="axisRow" numFmtId="14" showAll="0">
      <items count="21">
        <item x="17"/>
        <item x="1"/>
        <item x="9"/>
        <item x="2"/>
        <item x="19"/>
        <item x="8"/>
        <item x="12"/>
        <item x="6"/>
        <item x="18"/>
        <item x="3"/>
        <item x="13"/>
        <item x="15"/>
        <item x="7"/>
        <item x="4"/>
        <item x="14"/>
        <item x="10"/>
        <item x="0"/>
        <item x="16"/>
        <item x="11"/>
        <item x="5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1"/>
    <field x="10"/>
    <field x="1"/>
  </rowFields>
  <rowItems count="7">
    <i>
      <x v="6"/>
    </i>
    <i>
      <x v="7"/>
    </i>
    <i>
      <x v="4"/>
    </i>
    <i>
      <x v="5"/>
    </i>
    <i>
      <x v="2"/>
    </i>
    <i>
      <x v="3"/>
    </i>
    <i t="grand">
      <x/>
    </i>
  </rowItems>
  <colItems count="1">
    <i/>
  </colItems>
  <dataFields count="1">
    <dataField name="Sum of Revenue profit/Loss      (Unmet Demands)" fld="8" baseField="0" baseItem="0" numFmtId="164"/>
  </dataFields>
  <chartFormats count="9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62" name="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61503-6725-45AD-9CB9-A0431B84AE64}" name="PivotTable9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9">
  <location ref="D14:E21" firstHeaderRow="1" firstDataRow="1" firstDataCol="1"/>
  <pivotFields count="12">
    <pivotField showAll="0"/>
    <pivotField axis="axisRow" numFmtId="14" showAll="0">
      <items count="21">
        <item x="17"/>
        <item x="1"/>
        <item x="9"/>
        <item x="2"/>
        <item x="19"/>
        <item x="8"/>
        <item x="12"/>
        <item x="6"/>
        <item x="18"/>
        <item x="3"/>
        <item x="13"/>
        <item x="15"/>
        <item x="7"/>
        <item x="4"/>
        <item x="14"/>
        <item x="10"/>
        <item x="0"/>
        <item x="16"/>
        <item x="11"/>
        <item x="5"/>
        <item t="default"/>
      </items>
    </pivotField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emand/Orders" fld="2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62" name="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4DD53-0C4B-437B-8105-FB0306EBCD39}" name="PivotTable8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8">
  <location ref="A14:B21" firstHeaderRow="1" firstDataRow="1" firstDataCol="1"/>
  <pivotFields count="12">
    <pivotField showAll="0"/>
    <pivotField axis="axisRow" numFmtId="14" showAll="0">
      <items count="21">
        <item x="17"/>
        <item x="1"/>
        <item x="9"/>
        <item x="2"/>
        <item x="19"/>
        <item x="8"/>
        <item x="12"/>
        <item x="6"/>
        <item x="18"/>
        <item x="3"/>
        <item x="13"/>
        <item x="15"/>
        <item x="7"/>
        <item x="4"/>
        <item x="14"/>
        <item x="10"/>
        <item x="0"/>
        <item x="16"/>
        <item x="11"/>
        <item x="5"/>
        <item t="default"/>
      </items>
    </pivotField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ickets_Sold" fld="4" baseField="0" baseItem="0"/>
  </dataFields>
  <chartFormats count="1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62" name="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DA3F1-8800-4A7F-BC7F-2CC146CBE9F6}" name="PivotTable7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A3:D10" firstHeaderRow="0" firstDataRow="1" firstDataCol="1"/>
  <pivotFields count="12">
    <pivotField showAll="0"/>
    <pivotField axis="axisRow" numFmtId="14" showAll="0">
      <items count="21">
        <item x="17"/>
        <item x="1"/>
        <item x="9"/>
        <item x="2"/>
        <item x="19"/>
        <item x="8"/>
        <item x="12"/>
        <item x="6"/>
        <item x="18"/>
        <item x="3"/>
        <item x="13"/>
        <item x="15"/>
        <item x="7"/>
        <item x="4"/>
        <item x="14"/>
        <item x="10"/>
        <item x="0"/>
        <item x="16"/>
        <item x="11"/>
        <item x="5"/>
        <item t="default"/>
      </items>
    </pivotField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3">
    <field x="11"/>
    <field x="10"/>
    <field x="1"/>
  </rowFields>
  <rowItems count="7">
    <i>
      <x v="4"/>
    </i>
    <i>
      <x v="2"/>
    </i>
    <i>
      <x v="5"/>
    </i>
    <i>
      <x v="3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ptimized Revenue" fld="5" baseField="0" baseItem="0" numFmtId="164"/>
    <dataField name="Sum of Fixed         Revenue " fld="6" baseField="0" baseItem="0" numFmtId="164"/>
    <dataField name="Sum of Full Demand Revenue" fld="7" baseField="0" baseItem="0" numFmtId="164"/>
  </dataFields>
  <pivotTableStyleInfo name="PivotStyleLight16" showRowHeaders="1" showColHeaders="1" showRowStripes="0" showColStripes="0" showLastColumn="1"/>
  <filters count="1">
    <filter fld="1" type="dateBetween" evalOrder="-1" id="362" name="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08574D-88B8-4C2A-84CB-492E5171B099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Show_ID" tableColumnId="1"/>
      <queryTableField id="2" name="Date" tableColumnId="2"/>
      <queryTableField id="3" name="Demand" tableColumnId="3"/>
      <queryTableField id="4" name="Price_per_Ticket" tableColumnId="4"/>
      <queryTableField id="5" name="Tickets_Sold" tableColumnId="5"/>
      <queryTableField id="6" name="Total_Revenu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2C967-6E04-4DDF-BBB8-7AC22BEC304C}" name="Optimization_of_Ticket_Dataset" displayName="Optimization_of_Ticket_Dataset" ref="C2:L23" tableType="queryTable" totalsRowShown="0" headerRowDxfId="0">
  <autoFilter ref="C2:L23" xr:uid="{CDE2C967-6E04-4DDF-BBB8-7AC22BEC304C}">
    <filterColumn colId="1">
      <filters>
        <dateGroupItem year="2026" dateTimeGrouping="year"/>
      </filters>
    </filterColumn>
  </autoFilter>
  <sortState xmlns:xlrd2="http://schemas.microsoft.com/office/spreadsheetml/2017/richdata2" ref="C3:L22">
    <sortCondition descending="1" ref="L2:L22"/>
  </sortState>
  <tableColumns count="10">
    <tableColumn id="1" xr3:uid="{89D5DF70-DB31-4EC3-8A04-9DAAD23BC715}" uniqueName="1" name="S/N" queryTableFieldId="1"/>
    <tableColumn id="2" xr3:uid="{FBE0C7E8-27BE-4539-B95F-DE4365EEA925}" uniqueName="2" name="Date" queryTableFieldId="2" dataDxfId="9"/>
    <tableColumn id="3" xr3:uid="{C5CF0F34-4CAC-4388-8389-088F67C8F796}" uniqueName="3" name="Demand/Orders" queryTableFieldId="3" dataDxfId="8"/>
    <tableColumn id="4" xr3:uid="{48B3CA26-5140-4AC3-9CB5-6086966CDC81}" uniqueName="4" name="Price_per_Ticket" queryTableFieldId="4" dataDxfId="7" dataCellStyle="Currency"/>
    <tableColumn id="5" xr3:uid="{919C604D-E61A-43EC-9964-8D01402ABC3D}" uniqueName="5" name="Tickets_Sold" queryTableFieldId="5" dataDxfId="6"/>
    <tableColumn id="6" xr3:uid="{8CB6188B-4FB7-4543-98C1-6B2F8188C849}" uniqueName="6" name="Optimized Revenue" queryTableFieldId="6" dataDxfId="5" dataCellStyle="Currency"/>
    <tableColumn id="7" xr3:uid="{125F63B7-4E27-4B43-A074-1938F77706B4}" uniqueName="7" name="Fixed         Revenue " queryTableFieldId="7" dataDxfId="4">
      <calculatedColumnFormula>Optimization_of_Ticket_Dataset[[#This Row],[Tickets_Sold]]*4500</calculatedColumnFormula>
    </tableColumn>
    <tableColumn id="8" xr3:uid="{762C2C40-FB25-4737-95EE-1AE7AF41E70B}" uniqueName="8" name="Full Demand Revenue" queryTableFieldId="8" dataDxfId="3">
      <calculatedColumnFormula>Optimization_of_Ticket_Dataset[[#This Row],[Demand/Orders]]*Optimization_of_Ticket_Dataset[[#This Row],[Price_per_Ticket]]</calculatedColumnFormula>
    </tableColumn>
    <tableColumn id="9" xr3:uid="{8859DBC0-AAAD-4181-AB97-6DE48071CCF6}" uniqueName="9" name="Revenue profit/Loss      (Unmet Demands)" queryTableFieldId="9" dataDxfId="2">
      <calculatedColumnFormula>Optimization_of_Ticket_Dataset[[#This Row],[Optimized Revenue]]-Optimization_of_Ticket_Dataset[[#This Row],[Full Demand Revenue]]</calculatedColumnFormula>
    </tableColumn>
    <tableColumn id="10" xr3:uid="{EC37D6F3-D017-4EDB-A593-445E43A2EC21}" uniqueName="10" name="Revenue profit/Loss      (No price Optimization)" queryTableFieldId="10" dataDxfId="1">
      <calculatedColumnFormula>Optimization_of_Ticket_Dataset[[#This Row],[Fixed         Revenue ]]-Optimization_of_Ticket_Dataset[[#This Row],[Optimized Revenue]]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2400420B-963D-47A7-A541-1BE84987CB52}" sourceName="Date">
  <pivotTables>
    <pivotTable tabId="6" name="PivotTable7"/>
    <pivotTable tabId="6" name="PivotTable8"/>
    <pivotTable tabId="6" name="PivotTable9"/>
    <pivotTable tabId="6" name="PivotTable10"/>
    <pivotTable tabId="6" name="PivotTable11"/>
  </pivotTables>
  <state minimalRefreshVersion="6" lastRefreshVersion="6" pivotCacheId="419279128" filterType="dateBetween">
    <selection startDate="2026-01-01T00:00:00" endDate="2026-12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49CB13EC-25EF-4F90-8353-19D67479F6C5}" cache="NativeTimeline_Date" caption="Date" showHeader="0" showSelectionLabel="0" showTimeLevel="0" level="2" selectionLevel="0" scrollPosition="2026-01-01T00:00:00" style="TimeSlicerStyleLight3 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88A9-37ED-48D5-839A-4D9296C85FDD}">
  <dimension ref="A3:H21"/>
  <sheetViews>
    <sheetView topLeftCell="C1" workbookViewId="0">
      <selection activeCell="B21" sqref="B21"/>
    </sheetView>
  </sheetViews>
  <sheetFormatPr defaultRowHeight="15" x14ac:dyDescent="0.25"/>
  <cols>
    <col min="1" max="1" width="13.42578125" bestFit="1" customWidth="1"/>
    <col min="2" max="2" width="19.28515625" bestFit="1" customWidth="1"/>
    <col min="3" max="3" width="25.28515625" bestFit="1" customWidth="1"/>
    <col min="4" max="4" width="13.42578125" bestFit="1" customWidth="1"/>
    <col min="5" max="5" width="22.5703125" bestFit="1" customWidth="1"/>
    <col min="6" max="7" width="13.42578125" bestFit="1" customWidth="1"/>
    <col min="8" max="8" width="28" bestFit="1" customWidth="1"/>
    <col min="9" max="9" width="51" bestFit="1" customWidth="1"/>
  </cols>
  <sheetData>
    <row r="3" spans="1:8" x14ac:dyDescent="0.25">
      <c r="A3" s="9" t="s">
        <v>10</v>
      </c>
      <c r="B3" t="s">
        <v>18</v>
      </c>
      <c r="C3" t="s">
        <v>22</v>
      </c>
      <c r="D3" t="s">
        <v>23</v>
      </c>
      <c r="F3" s="9" t="s">
        <v>10</v>
      </c>
      <c r="G3" t="s">
        <v>21</v>
      </c>
    </row>
    <row r="4" spans="1:8" x14ac:dyDescent="0.25">
      <c r="A4" s="10" t="s">
        <v>14</v>
      </c>
      <c r="B4" s="8">
        <v>10504000</v>
      </c>
      <c r="C4" s="8">
        <v>10998000</v>
      </c>
      <c r="D4" s="8">
        <v>10504000</v>
      </c>
      <c r="F4" s="10" t="s">
        <v>16</v>
      </c>
      <c r="G4" s="8">
        <v>1263000</v>
      </c>
    </row>
    <row r="5" spans="1:8" x14ac:dyDescent="0.25">
      <c r="A5" s="10" t="s">
        <v>12</v>
      </c>
      <c r="B5" s="8">
        <v>5787500</v>
      </c>
      <c r="C5" s="8">
        <v>6277500</v>
      </c>
      <c r="D5" s="8">
        <v>7075000</v>
      </c>
      <c r="F5" s="10" t="s">
        <v>17</v>
      </c>
      <c r="G5" s="8">
        <v>859000</v>
      </c>
    </row>
    <row r="6" spans="1:8" x14ac:dyDescent="0.25">
      <c r="A6" s="10" t="s">
        <v>15</v>
      </c>
      <c r="B6" s="8">
        <v>5936000</v>
      </c>
      <c r="C6" s="8">
        <v>6421500</v>
      </c>
      <c r="D6" s="8">
        <v>7010000</v>
      </c>
      <c r="F6" s="10" t="s">
        <v>14</v>
      </c>
      <c r="G6" s="8">
        <v>0</v>
      </c>
    </row>
    <row r="7" spans="1:8" x14ac:dyDescent="0.25">
      <c r="A7" s="10" t="s">
        <v>13</v>
      </c>
      <c r="B7" s="8">
        <v>5449000</v>
      </c>
      <c r="C7" s="8">
        <v>5926500</v>
      </c>
      <c r="D7" s="8">
        <v>6907000</v>
      </c>
      <c r="F7" s="10" t="s">
        <v>15</v>
      </c>
      <c r="G7" s="8">
        <v>-1074000</v>
      </c>
    </row>
    <row r="8" spans="1:8" x14ac:dyDescent="0.25">
      <c r="A8" s="10" t="s">
        <v>16</v>
      </c>
      <c r="B8" s="8">
        <v>6815000</v>
      </c>
      <c r="C8" s="8">
        <v>7110000</v>
      </c>
      <c r="D8" s="8">
        <v>5552000</v>
      </c>
      <c r="F8" s="10" t="s">
        <v>12</v>
      </c>
      <c r="G8" s="8">
        <v>-1287500</v>
      </c>
    </row>
    <row r="9" spans="1:8" x14ac:dyDescent="0.25">
      <c r="A9" s="10" t="s">
        <v>17</v>
      </c>
      <c r="B9" s="8">
        <v>6170500</v>
      </c>
      <c r="C9" s="8">
        <v>6430500</v>
      </c>
      <c r="D9" s="8">
        <v>5311500</v>
      </c>
      <c r="F9" s="10" t="s">
        <v>13</v>
      </c>
      <c r="G9" s="8">
        <v>-1458000</v>
      </c>
    </row>
    <row r="10" spans="1:8" x14ac:dyDescent="0.25">
      <c r="A10" s="10" t="s">
        <v>11</v>
      </c>
      <c r="B10" s="8">
        <v>40662000</v>
      </c>
      <c r="C10" s="8">
        <v>43164000</v>
      </c>
      <c r="D10" s="8">
        <v>42359500</v>
      </c>
      <c r="F10" s="10" t="s">
        <v>11</v>
      </c>
      <c r="G10" s="8">
        <v>-1697500</v>
      </c>
    </row>
    <row r="14" spans="1:8" x14ac:dyDescent="0.25">
      <c r="A14" s="9" t="s">
        <v>10</v>
      </c>
      <c r="B14" t="s">
        <v>19</v>
      </c>
      <c r="D14" s="9" t="s">
        <v>10</v>
      </c>
      <c r="E14" t="s">
        <v>20</v>
      </c>
      <c r="G14" s="9" t="s">
        <v>10</v>
      </c>
      <c r="H14" t="s">
        <v>23</v>
      </c>
    </row>
    <row r="15" spans="1:8" x14ac:dyDescent="0.25">
      <c r="A15" s="10" t="s">
        <v>12</v>
      </c>
      <c r="B15">
        <v>1395</v>
      </c>
      <c r="D15" s="10" t="s">
        <v>12</v>
      </c>
      <c r="E15">
        <v>1714</v>
      </c>
      <c r="G15" s="10" t="s">
        <v>12</v>
      </c>
      <c r="H15" s="8">
        <v>7075000</v>
      </c>
    </row>
    <row r="16" spans="1:8" x14ac:dyDescent="0.25">
      <c r="A16" s="10" t="s">
        <v>13</v>
      </c>
      <c r="B16">
        <v>1317</v>
      </c>
      <c r="D16" s="10" t="s">
        <v>13</v>
      </c>
      <c r="E16">
        <v>1668</v>
      </c>
      <c r="G16" s="10" t="s">
        <v>13</v>
      </c>
      <c r="H16" s="8">
        <v>6907000</v>
      </c>
    </row>
    <row r="17" spans="1:8" x14ac:dyDescent="0.25">
      <c r="A17" s="10" t="s">
        <v>14</v>
      </c>
      <c r="B17">
        <v>2444</v>
      </c>
      <c r="D17" s="10" t="s">
        <v>14</v>
      </c>
      <c r="E17">
        <v>2464</v>
      </c>
      <c r="G17" s="10" t="s">
        <v>14</v>
      </c>
      <c r="H17" s="8">
        <v>10504000</v>
      </c>
    </row>
    <row r="18" spans="1:8" x14ac:dyDescent="0.25">
      <c r="A18" s="10" t="s">
        <v>15</v>
      </c>
      <c r="B18">
        <v>1427</v>
      </c>
      <c r="D18" s="10" t="s">
        <v>15</v>
      </c>
      <c r="E18">
        <v>1697</v>
      </c>
      <c r="G18" s="10" t="s">
        <v>15</v>
      </c>
      <c r="H18" s="8">
        <v>7010000</v>
      </c>
    </row>
    <row r="19" spans="1:8" x14ac:dyDescent="0.25">
      <c r="A19" s="10" t="s">
        <v>16</v>
      </c>
      <c r="B19">
        <v>1580</v>
      </c>
      <c r="D19" s="10" t="s">
        <v>16</v>
      </c>
      <c r="E19">
        <v>1301</v>
      </c>
      <c r="G19" s="10" t="s">
        <v>16</v>
      </c>
      <c r="H19" s="8">
        <v>5552000</v>
      </c>
    </row>
    <row r="20" spans="1:8" x14ac:dyDescent="0.25">
      <c r="A20" s="10" t="s">
        <v>17</v>
      </c>
      <c r="B20">
        <v>1429</v>
      </c>
      <c r="D20" s="10" t="s">
        <v>17</v>
      </c>
      <c r="E20">
        <v>1236</v>
      </c>
      <c r="G20" s="10" t="s">
        <v>17</v>
      </c>
      <c r="H20" s="8">
        <v>5311500</v>
      </c>
    </row>
    <row r="21" spans="1:8" x14ac:dyDescent="0.25">
      <c r="A21" s="10" t="s">
        <v>11</v>
      </c>
      <c r="B21">
        <v>9592</v>
      </c>
      <c r="D21" s="10" t="s">
        <v>11</v>
      </c>
      <c r="E21">
        <v>10080</v>
      </c>
      <c r="G21" s="10" t="s">
        <v>11</v>
      </c>
      <c r="H21" s="8">
        <v>42359500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06B2-A8EE-4125-AD67-9896F6266147}">
  <dimension ref="B1:L26"/>
  <sheetViews>
    <sheetView topLeftCell="A2" zoomScale="80" zoomScaleNormal="80" workbookViewId="0">
      <selection activeCell="K13" sqref="K13"/>
    </sheetView>
  </sheetViews>
  <sheetFormatPr defaultRowHeight="15" x14ac:dyDescent="0.25"/>
  <cols>
    <col min="3" max="3" width="7.85546875" customWidth="1"/>
    <col min="4" max="4" width="15.42578125" customWidth="1"/>
    <col min="5" max="5" width="21.42578125" bestFit="1" customWidth="1"/>
    <col min="6" max="7" width="15.7109375" customWidth="1"/>
    <col min="8" max="8" width="18" customWidth="1"/>
    <col min="9" max="9" width="16.42578125" bestFit="1" customWidth="1"/>
    <col min="10" max="10" width="17.85546875" customWidth="1"/>
    <col min="11" max="11" width="19" customWidth="1"/>
    <col min="12" max="12" width="20.28515625" customWidth="1"/>
  </cols>
  <sheetData>
    <row r="1" spans="3:12" ht="30" customHeight="1" x14ac:dyDescent="0.25"/>
    <row r="2" spans="3:12" s="5" customFormat="1" ht="55.5" customHeight="1" x14ac:dyDescent="0.25">
      <c r="C2" s="19" t="s">
        <v>3</v>
      </c>
      <c r="D2" s="19" t="s">
        <v>0</v>
      </c>
      <c r="E2" s="19" t="s">
        <v>4</v>
      </c>
      <c r="F2" s="19" t="s">
        <v>1</v>
      </c>
      <c r="G2" s="19" t="s">
        <v>2</v>
      </c>
      <c r="H2" s="19" t="s">
        <v>5</v>
      </c>
      <c r="I2" s="19" t="s">
        <v>7</v>
      </c>
      <c r="J2" s="19" t="s">
        <v>6</v>
      </c>
      <c r="K2" s="19" t="s">
        <v>8</v>
      </c>
      <c r="L2" s="19" t="s">
        <v>9</v>
      </c>
    </row>
    <row r="3" spans="3:12" x14ac:dyDescent="0.25">
      <c r="C3" s="21">
        <v>15</v>
      </c>
      <c r="D3" s="20">
        <v>46192</v>
      </c>
      <c r="E3" s="22">
        <v>605</v>
      </c>
      <c r="F3" s="23" t="str">
        <f>IF(E3&lt;=500,"4500","4000")</f>
        <v>4000</v>
      </c>
      <c r="G3" s="22">
        <v>590</v>
      </c>
      <c r="H3" s="24">
        <f>Optimization_of_Ticket_Dataset[[#This Row],[Tickets_Sold]]*Optimization_of_Ticket_Dataset[[#This Row],[Price_per_Ticket]]</f>
        <v>2360000</v>
      </c>
      <c r="I3" s="24">
        <f>Optimization_of_Ticket_Dataset[[#This Row],[Tickets_Sold]]*4500</f>
        <v>2655000</v>
      </c>
      <c r="J3" s="24">
        <f>Optimization_of_Ticket_Dataset[[#This Row],[Demand/Orders]]*Optimization_of_Ticket_Dataset[[#This Row],[Price_per_Ticket]]</f>
        <v>2420000</v>
      </c>
      <c r="K3" s="25">
        <f>Optimization_of_Ticket_Dataset[[#This Row],[Optimized Revenue]]-Optimization_of_Ticket_Dataset[[#This Row],[Full Demand Revenue]]</f>
        <v>-60000</v>
      </c>
      <c r="L3" s="25">
        <f>Optimization_of_Ticket_Dataset[[#This Row],[Fixed         Revenue ]]-Optimization_of_Ticket_Dataset[[#This Row],[Optimized Revenue]]</f>
        <v>295000</v>
      </c>
    </row>
    <row r="4" spans="3:12" x14ac:dyDescent="0.25">
      <c r="C4">
        <v>2</v>
      </c>
      <c r="D4" s="1">
        <v>46071</v>
      </c>
      <c r="E4" s="2">
        <v>671</v>
      </c>
      <c r="F4" s="3" t="str">
        <f>IF(E4&lt;=500,"4500","4000")</f>
        <v>4000</v>
      </c>
      <c r="G4" s="2">
        <v>574</v>
      </c>
      <c r="H4" s="4">
        <f>Optimization_of_Ticket_Dataset[[#This Row],[Tickets_Sold]]*Optimization_of_Ticket_Dataset[[#This Row],[Price_per_Ticket]]</f>
        <v>2296000</v>
      </c>
      <c r="I4" s="4">
        <f>Optimization_of_Ticket_Dataset[[#This Row],[Tickets_Sold]]*4500</f>
        <v>2583000</v>
      </c>
      <c r="J4" s="4">
        <f>Optimization_of_Ticket_Dataset[[#This Row],[Demand/Orders]]*Optimization_of_Ticket_Dataset[[#This Row],[Price_per_Ticket]]</f>
        <v>2684000</v>
      </c>
      <c r="K4" s="8">
        <f>Optimization_of_Ticket_Dataset[[#This Row],[Optimized Revenue]]-Optimization_of_Ticket_Dataset[[#This Row],[Full Demand Revenue]]</f>
        <v>-388000</v>
      </c>
      <c r="L4" s="8">
        <f>Optimization_of_Ticket_Dataset[[#This Row],[Fixed         Revenue ]]-Optimization_of_Ticket_Dataset[[#This Row],[Optimized Revenue]]</f>
        <v>287000</v>
      </c>
    </row>
    <row r="5" spans="3:12" x14ac:dyDescent="0.25">
      <c r="C5" s="21">
        <v>4</v>
      </c>
      <c r="D5" s="20">
        <v>46085</v>
      </c>
      <c r="E5" s="22">
        <v>610</v>
      </c>
      <c r="F5" s="23" t="str">
        <f>IF(E5&lt;=500,"4500","4000")</f>
        <v>4000</v>
      </c>
      <c r="G5" s="22">
        <v>543</v>
      </c>
      <c r="H5" s="24">
        <f>Optimization_of_Ticket_Dataset[[#This Row],[Tickets_Sold]]*Optimization_of_Ticket_Dataset[[#This Row],[Price_per_Ticket]]</f>
        <v>2172000</v>
      </c>
      <c r="I5" s="24">
        <f>Optimization_of_Ticket_Dataset[[#This Row],[Tickets_Sold]]*4500</f>
        <v>2443500</v>
      </c>
      <c r="J5" s="24">
        <f>Optimization_of_Ticket_Dataset[[#This Row],[Demand/Orders]]*Optimization_of_Ticket_Dataset[[#This Row],[Price_per_Ticket]]</f>
        <v>2440000</v>
      </c>
      <c r="K5" s="25">
        <f>Optimization_of_Ticket_Dataset[[#This Row],[Optimized Revenue]]-Optimization_of_Ticket_Dataset[[#This Row],[Full Demand Revenue]]</f>
        <v>-268000</v>
      </c>
      <c r="L5" s="25">
        <f>Optimization_of_Ticket_Dataset[[#This Row],[Fixed         Revenue ]]-Optimization_of_Ticket_Dataset[[#This Row],[Optimized Revenue]]</f>
        <v>271500</v>
      </c>
    </row>
    <row r="6" spans="3:12" x14ac:dyDescent="0.25">
      <c r="C6">
        <v>9</v>
      </c>
      <c r="D6" s="1">
        <v>46141</v>
      </c>
      <c r="E6" s="2">
        <v>615</v>
      </c>
      <c r="F6" s="3" t="str">
        <f>IF(E6&lt;=500,"4500","4000")</f>
        <v>4000</v>
      </c>
      <c r="G6" s="2">
        <v>543</v>
      </c>
      <c r="H6" s="4">
        <f>Optimization_of_Ticket_Dataset[[#This Row],[Tickets_Sold]]*Optimization_of_Ticket_Dataset[[#This Row],[Price_per_Ticket]]</f>
        <v>2172000</v>
      </c>
      <c r="I6" s="4">
        <f>Optimization_of_Ticket_Dataset[[#This Row],[Tickets_Sold]]*4500</f>
        <v>2443500</v>
      </c>
      <c r="J6" s="4">
        <f>Optimization_of_Ticket_Dataset[[#This Row],[Demand/Orders]]*Optimization_of_Ticket_Dataset[[#This Row],[Price_per_Ticket]]</f>
        <v>2460000</v>
      </c>
      <c r="K6" s="8">
        <f>Optimization_of_Ticket_Dataset[[#This Row],[Optimized Revenue]]-Optimization_of_Ticket_Dataset[[#This Row],[Full Demand Revenue]]</f>
        <v>-288000</v>
      </c>
      <c r="L6" s="8">
        <f>Optimization_of_Ticket_Dataset[[#This Row],[Fixed         Revenue ]]-Optimization_of_Ticket_Dataset[[#This Row],[Optimized Revenue]]</f>
        <v>271500</v>
      </c>
    </row>
    <row r="7" spans="3:12" x14ac:dyDescent="0.25">
      <c r="C7" s="21">
        <v>12</v>
      </c>
      <c r="D7" s="20">
        <v>46172</v>
      </c>
      <c r="E7" s="22">
        <v>690</v>
      </c>
      <c r="F7" s="23" t="str">
        <f>IF(E7&lt;=500,"4500","4000")</f>
        <v>4000</v>
      </c>
      <c r="G7" s="22">
        <v>539</v>
      </c>
      <c r="H7" s="24">
        <f>Optimization_of_Ticket_Dataset[[#This Row],[Tickets_Sold]]*Optimization_of_Ticket_Dataset[[#This Row],[Price_per_Ticket]]</f>
        <v>2156000</v>
      </c>
      <c r="I7" s="24">
        <f>Optimization_of_Ticket_Dataset[[#This Row],[Tickets_Sold]]*4500</f>
        <v>2425500</v>
      </c>
      <c r="J7" s="24">
        <f>Optimization_of_Ticket_Dataset[[#This Row],[Demand/Orders]]*Optimization_of_Ticket_Dataset[[#This Row],[Price_per_Ticket]]</f>
        <v>2760000</v>
      </c>
      <c r="K7" s="25">
        <f>Optimization_of_Ticket_Dataset[[#This Row],[Optimized Revenue]]-Optimization_of_Ticket_Dataset[[#This Row],[Full Demand Revenue]]</f>
        <v>-604000</v>
      </c>
      <c r="L7" s="25">
        <f>Optimization_of_Ticket_Dataset[[#This Row],[Fixed         Revenue ]]-Optimization_of_Ticket_Dataset[[#This Row],[Optimized Revenue]]</f>
        <v>269500</v>
      </c>
    </row>
    <row r="8" spans="3:12" x14ac:dyDescent="0.25">
      <c r="C8">
        <v>19</v>
      </c>
      <c r="D8" s="1">
        <v>46222</v>
      </c>
      <c r="E8" s="2">
        <v>501</v>
      </c>
      <c r="F8" s="3" t="str">
        <f>IF(E8&lt;=500,"4500","4000")</f>
        <v>4000</v>
      </c>
      <c r="G8" s="2">
        <v>520</v>
      </c>
      <c r="H8" s="4">
        <f>Optimization_of_Ticket_Dataset[[#This Row],[Tickets_Sold]]*Optimization_of_Ticket_Dataset[[#This Row],[Price_per_Ticket]]</f>
        <v>2080000</v>
      </c>
      <c r="I8" s="4">
        <f>Optimization_of_Ticket_Dataset[[#This Row],[Tickets_Sold]]*4500</f>
        <v>2340000</v>
      </c>
      <c r="J8" s="4">
        <f>Optimization_of_Ticket_Dataset[[#This Row],[Demand/Orders]]*Optimization_of_Ticket_Dataset[[#This Row],[Price_per_Ticket]]</f>
        <v>2004000</v>
      </c>
      <c r="K8" s="8">
        <f>Optimization_of_Ticket_Dataset[[#This Row],[Optimized Revenue]]-Optimization_of_Ticket_Dataset[[#This Row],[Full Demand Revenue]]</f>
        <v>76000</v>
      </c>
      <c r="L8" s="8">
        <f>Optimization_of_Ticket_Dataset[[#This Row],[Fixed         Revenue ]]-Optimization_of_Ticket_Dataset[[#This Row],[Optimized Revenue]]</f>
        <v>260000</v>
      </c>
    </row>
    <row r="9" spans="3:12" x14ac:dyDescent="0.25">
      <c r="C9" s="21">
        <v>8</v>
      </c>
      <c r="D9" s="20">
        <v>46132</v>
      </c>
      <c r="E9" s="22">
        <v>553</v>
      </c>
      <c r="F9" s="23" t="str">
        <f>IF(E9&lt;=500,"4500","4000")</f>
        <v>4000</v>
      </c>
      <c r="G9" s="22">
        <v>445</v>
      </c>
      <c r="H9" s="24">
        <f>Optimization_of_Ticket_Dataset[[#This Row],[Tickets_Sold]]*Optimization_of_Ticket_Dataset[[#This Row],[Price_per_Ticket]]</f>
        <v>1780000</v>
      </c>
      <c r="I9" s="24">
        <f>Optimization_of_Ticket_Dataset[[#This Row],[Tickets_Sold]]*4500</f>
        <v>2002500</v>
      </c>
      <c r="J9" s="24">
        <f>Optimization_of_Ticket_Dataset[[#This Row],[Demand/Orders]]*Optimization_of_Ticket_Dataset[[#This Row],[Price_per_Ticket]]</f>
        <v>2212000</v>
      </c>
      <c r="K9" s="25">
        <f>Optimization_of_Ticket_Dataset[[#This Row],[Optimized Revenue]]-Optimization_of_Ticket_Dataset[[#This Row],[Full Demand Revenue]]</f>
        <v>-432000</v>
      </c>
      <c r="L9" s="25">
        <f>Optimization_of_Ticket_Dataset[[#This Row],[Fixed         Revenue ]]-Optimization_of_Ticket_Dataset[[#This Row],[Optimized Revenue]]</f>
        <v>222500</v>
      </c>
    </row>
    <row r="10" spans="3:12" x14ac:dyDescent="0.25">
      <c r="C10">
        <v>11</v>
      </c>
      <c r="D10" s="1">
        <v>46163</v>
      </c>
      <c r="E10" s="2">
        <v>563</v>
      </c>
      <c r="F10" s="3" t="str">
        <f>IF(E10&lt;=500,"4500","4000")</f>
        <v>4000</v>
      </c>
      <c r="G10" s="2">
        <v>432</v>
      </c>
      <c r="H10" s="4">
        <f>Optimization_of_Ticket_Dataset[[#This Row],[Tickets_Sold]]*Optimization_of_Ticket_Dataset[[#This Row],[Price_per_Ticket]]</f>
        <v>1728000</v>
      </c>
      <c r="I10" s="4">
        <f>Optimization_of_Ticket_Dataset[[#This Row],[Tickets_Sold]]*4500</f>
        <v>1944000</v>
      </c>
      <c r="J10" s="4">
        <f>Optimization_of_Ticket_Dataset[[#This Row],[Demand/Orders]]*Optimization_of_Ticket_Dataset[[#This Row],[Price_per_Ticket]]</f>
        <v>2252000</v>
      </c>
      <c r="K10" s="8">
        <f>Optimization_of_Ticket_Dataset[[#This Row],[Optimized Revenue]]-Optimization_of_Ticket_Dataset[[#This Row],[Full Demand Revenue]]</f>
        <v>-524000</v>
      </c>
      <c r="L10" s="8">
        <f>Optimization_of_Ticket_Dataset[[#This Row],[Fixed         Revenue ]]-Optimization_of_Ticket_Dataset[[#This Row],[Optimized Revenue]]</f>
        <v>216000</v>
      </c>
    </row>
    <row r="11" spans="3:12" x14ac:dyDescent="0.25">
      <c r="C11" s="21">
        <v>6</v>
      </c>
      <c r="D11" s="20">
        <v>46107</v>
      </c>
      <c r="E11" s="22">
        <v>588</v>
      </c>
      <c r="F11" s="23" t="str">
        <f>IF(E11&lt;=500,"4500","4000")</f>
        <v>4000</v>
      </c>
      <c r="G11" s="22">
        <v>412</v>
      </c>
      <c r="H11" s="24">
        <f>Optimization_of_Ticket_Dataset[[#This Row],[Tickets_Sold]]*Optimization_of_Ticket_Dataset[[#This Row],[Price_per_Ticket]]</f>
        <v>1648000</v>
      </c>
      <c r="I11" s="24">
        <f>Optimization_of_Ticket_Dataset[[#This Row],[Tickets_Sold]]*4500</f>
        <v>1854000</v>
      </c>
      <c r="J11" s="24">
        <f>Optimization_of_Ticket_Dataset[[#This Row],[Demand/Orders]]*Optimization_of_Ticket_Dataset[[#This Row],[Price_per_Ticket]]</f>
        <v>2352000</v>
      </c>
      <c r="K11" s="25">
        <f>Optimization_of_Ticket_Dataset[[#This Row],[Optimized Revenue]]-Optimization_of_Ticket_Dataset[[#This Row],[Full Demand Revenue]]</f>
        <v>-704000</v>
      </c>
      <c r="L11" s="25">
        <f>Optimization_of_Ticket_Dataset[[#This Row],[Fixed         Revenue ]]-Optimization_of_Ticket_Dataset[[#This Row],[Optimized Revenue]]</f>
        <v>206000</v>
      </c>
    </row>
    <row r="12" spans="3:12" x14ac:dyDescent="0.25">
      <c r="C12">
        <v>3</v>
      </c>
      <c r="D12" s="1">
        <v>46076</v>
      </c>
      <c r="E12" s="2">
        <v>605</v>
      </c>
      <c r="F12" s="3" t="str">
        <f>IF(E12&lt;=500,"4500","4000")</f>
        <v>4000</v>
      </c>
      <c r="G12" s="2">
        <v>406</v>
      </c>
      <c r="H12" s="4">
        <f>Optimization_of_Ticket_Dataset[[#This Row],[Tickets_Sold]]*Optimization_of_Ticket_Dataset[[#This Row],[Price_per_Ticket]]</f>
        <v>1624000</v>
      </c>
      <c r="I12" s="4">
        <f>Optimization_of_Ticket_Dataset[[#This Row],[Tickets_Sold]]*4500</f>
        <v>1827000</v>
      </c>
      <c r="J12" s="4">
        <f>Optimization_of_Ticket_Dataset[[#This Row],[Demand/Orders]]*Optimization_of_Ticket_Dataset[[#This Row],[Price_per_Ticket]]</f>
        <v>2420000</v>
      </c>
      <c r="K12" s="8">
        <f>Optimization_of_Ticket_Dataset[[#This Row],[Optimized Revenue]]-Optimization_of_Ticket_Dataset[[#This Row],[Full Demand Revenue]]</f>
        <v>-796000</v>
      </c>
      <c r="L12" s="8">
        <f>Optimization_of_Ticket_Dataset[[#This Row],[Fixed         Revenue ]]-Optimization_of_Ticket_Dataset[[#This Row],[Optimized Revenue]]</f>
        <v>203000</v>
      </c>
    </row>
    <row r="13" spans="3:12" x14ac:dyDescent="0.25">
      <c r="C13" s="21">
        <v>14</v>
      </c>
      <c r="D13" s="20">
        <v>46186</v>
      </c>
      <c r="E13" s="22">
        <v>318</v>
      </c>
      <c r="F13" s="23" t="str">
        <f>IF(E13&lt;=500,"4500","4000")</f>
        <v>4500</v>
      </c>
      <c r="G13" s="22">
        <v>580</v>
      </c>
      <c r="H13" s="24">
        <f>Optimization_of_Ticket_Dataset[[#This Row],[Tickets_Sold]]*Optimization_of_Ticket_Dataset[[#This Row],[Price_per_Ticket]]</f>
        <v>2610000</v>
      </c>
      <c r="I13" s="24">
        <f>Optimization_of_Ticket_Dataset[[#This Row],[Tickets_Sold]]*4500</f>
        <v>2610000</v>
      </c>
      <c r="J13" s="24">
        <f>Optimization_of_Ticket_Dataset[[#This Row],[Demand/Orders]]*Optimization_of_Ticket_Dataset[[#This Row],[Price_per_Ticket]]</f>
        <v>1431000</v>
      </c>
      <c r="K13" s="25">
        <f>Optimization_of_Ticket_Dataset[[#This Row],[Optimized Revenue]]-Optimization_of_Ticket_Dataset[[#This Row],[Full Demand Revenue]]</f>
        <v>1179000</v>
      </c>
      <c r="L13" s="25">
        <f>Optimization_of_Ticket_Dataset[[#This Row],[Fixed         Revenue ]]-Optimization_of_Ticket_Dataset[[#This Row],[Optimized Revenue]]</f>
        <v>0</v>
      </c>
    </row>
    <row r="14" spans="3:12" x14ac:dyDescent="0.25">
      <c r="C14">
        <v>18</v>
      </c>
      <c r="D14" s="1">
        <v>46215</v>
      </c>
      <c r="E14" s="2">
        <v>304</v>
      </c>
      <c r="F14" s="3" t="str">
        <f>IF(E14&lt;=500,"4500","4000")</f>
        <v>4500</v>
      </c>
      <c r="G14" s="2">
        <v>498</v>
      </c>
      <c r="H14" s="4">
        <f>Optimization_of_Ticket_Dataset[[#This Row],[Tickets_Sold]]*Optimization_of_Ticket_Dataset[[#This Row],[Price_per_Ticket]]</f>
        <v>2241000</v>
      </c>
      <c r="I14" s="4">
        <f>Optimization_of_Ticket_Dataset[[#This Row],[Tickets_Sold]]*4500</f>
        <v>2241000</v>
      </c>
      <c r="J14" s="4">
        <f>Optimization_of_Ticket_Dataset[[#This Row],[Demand/Orders]]*Optimization_of_Ticket_Dataset[[#This Row],[Price_per_Ticket]]</f>
        <v>1368000</v>
      </c>
      <c r="K14" s="8">
        <f>Optimization_of_Ticket_Dataset[[#This Row],[Optimized Revenue]]-Optimization_of_Ticket_Dataset[[#This Row],[Full Demand Revenue]]</f>
        <v>873000</v>
      </c>
      <c r="L14" s="8">
        <f>Optimization_of_Ticket_Dataset[[#This Row],[Fixed         Revenue ]]-Optimization_of_Ticket_Dataset[[#This Row],[Optimized Revenue]]</f>
        <v>0</v>
      </c>
    </row>
    <row r="15" spans="3:12" x14ac:dyDescent="0.25">
      <c r="C15" s="21">
        <v>7</v>
      </c>
      <c r="D15" s="20">
        <v>46129</v>
      </c>
      <c r="E15" s="22">
        <v>366</v>
      </c>
      <c r="F15" s="23" t="str">
        <f>IF(E15&lt;=500,"4500","4000")</f>
        <v>4500</v>
      </c>
      <c r="G15" s="22">
        <v>527</v>
      </c>
      <c r="H15" s="24">
        <f>Optimization_of_Ticket_Dataset[[#This Row],[Tickets_Sold]]*Optimization_of_Ticket_Dataset[[#This Row],[Price_per_Ticket]]</f>
        <v>2371500</v>
      </c>
      <c r="I15" s="24">
        <f>Optimization_of_Ticket_Dataset[[#This Row],[Tickets_Sold]]*4500</f>
        <v>2371500</v>
      </c>
      <c r="J15" s="24">
        <f>Optimization_of_Ticket_Dataset[[#This Row],[Demand/Orders]]*Optimization_of_Ticket_Dataset[[#This Row],[Price_per_Ticket]]</f>
        <v>1647000</v>
      </c>
      <c r="K15" s="25">
        <f>Optimization_of_Ticket_Dataset[[#This Row],[Optimized Revenue]]-Optimization_of_Ticket_Dataset[[#This Row],[Full Demand Revenue]]</f>
        <v>724500</v>
      </c>
      <c r="L15" s="25">
        <f>Optimization_of_Ticket_Dataset[[#This Row],[Fixed         Revenue ]]-Optimization_of_Ticket_Dataset[[#This Row],[Optimized Revenue]]</f>
        <v>0</v>
      </c>
    </row>
    <row r="16" spans="3:12" x14ac:dyDescent="0.25">
      <c r="C16">
        <v>20</v>
      </c>
      <c r="D16" s="1">
        <v>46142</v>
      </c>
      <c r="E16" s="2">
        <v>463</v>
      </c>
      <c r="F16" s="3" t="str">
        <f>IF(E16&lt;=500,"4500","4000")</f>
        <v>4500</v>
      </c>
      <c r="G16" s="2">
        <v>565</v>
      </c>
      <c r="H16" s="4">
        <f>Optimization_of_Ticket_Dataset[[#This Row],[Tickets_Sold]]*Optimization_of_Ticket_Dataset[[#This Row],[Price_per_Ticket]]</f>
        <v>2542500</v>
      </c>
      <c r="I16" s="4">
        <f>Optimization_of_Ticket_Dataset[[#This Row],[Tickets_Sold]]*4500</f>
        <v>2542500</v>
      </c>
      <c r="J16" s="4">
        <f>Optimization_of_Ticket_Dataset[[#This Row],[Demand/Orders]]*Optimization_of_Ticket_Dataset[[#This Row],[Price_per_Ticket]]</f>
        <v>2083500</v>
      </c>
      <c r="K16" s="8">
        <f>Optimization_of_Ticket_Dataset[[#This Row],[Optimized Revenue]]-Optimization_of_Ticket_Dataset[[#This Row],[Full Demand Revenue]]</f>
        <v>459000</v>
      </c>
      <c r="L16" s="8">
        <f>Optimization_of_Ticket_Dataset[[#This Row],[Fixed         Revenue ]]-Optimization_of_Ticket_Dataset[[#This Row],[Optimized Revenue]]</f>
        <v>0</v>
      </c>
    </row>
    <row r="17" spans="2:12" x14ac:dyDescent="0.25">
      <c r="C17" s="21">
        <v>13</v>
      </c>
      <c r="D17" s="20">
        <v>46178</v>
      </c>
      <c r="E17" s="22">
        <v>378</v>
      </c>
      <c r="F17" s="23" t="str">
        <f>IF(E17&lt;=500,"4500","4000")</f>
        <v>4500</v>
      </c>
      <c r="G17" s="22">
        <v>410</v>
      </c>
      <c r="H17" s="24">
        <f>Optimization_of_Ticket_Dataset[[#This Row],[Tickets_Sold]]*Optimization_of_Ticket_Dataset[[#This Row],[Price_per_Ticket]]</f>
        <v>1845000</v>
      </c>
      <c r="I17" s="24">
        <f>Optimization_of_Ticket_Dataset[[#This Row],[Tickets_Sold]]*4500</f>
        <v>1845000</v>
      </c>
      <c r="J17" s="24">
        <f>Optimization_of_Ticket_Dataset[[#This Row],[Demand/Orders]]*Optimization_of_Ticket_Dataset[[#This Row],[Price_per_Ticket]]</f>
        <v>1701000</v>
      </c>
      <c r="K17" s="25">
        <f>Optimization_of_Ticket_Dataset[[#This Row],[Optimized Revenue]]-Optimization_of_Ticket_Dataset[[#This Row],[Full Demand Revenue]]</f>
        <v>144000</v>
      </c>
      <c r="L17" s="25">
        <f>Optimization_of_Ticket_Dataset[[#This Row],[Fixed         Revenue ]]-Optimization_of_Ticket_Dataset[[#This Row],[Optimized Revenue]]</f>
        <v>0</v>
      </c>
    </row>
    <row r="18" spans="2:12" x14ac:dyDescent="0.25">
      <c r="C18">
        <v>10</v>
      </c>
      <c r="D18" s="1">
        <v>46152</v>
      </c>
      <c r="E18" s="2">
        <v>444</v>
      </c>
      <c r="F18" s="3" t="str">
        <f>IF(E18&lt;=500,"4500","4000")</f>
        <v>4500</v>
      </c>
      <c r="G18" s="2">
        <v>456</v>
      </c>
      <c r="H18" s="4">
        <f>Optimization_of_Ticket_Dataset[[#This Row],[Tickets_Sold]]*Optimization_of_Ticket_Dataset[[#This Row],[Price_per_Ticket]]</f>
        <v>2052000</v>
      </c>
      <c r="I18" s="4">
        <f>Optimization_of_Ticket_Dataset[[#This Row],[Tickets_Sold]]*4500</f>
        <v>2052000</v>
      </c>
      <c r="J18" s="4">
        <f>Optimization_of_Ticket_Dataset[[#This Row],[Demand/Orders]]*Optimization_of_Ticket_Dataset[[#This Row],[Price_per_Ticket]]</f>
        <v>1998000</v>
      </c>
      <c r="K18" s="8">
        <f>Optimization_of_Ticket_Dataset[[#This Row],[Optimized Revenue]]-Optimization_of_Ticket_Dataset[[#This Row],[Full Demand Revenue]]</f>
        <v>54000</v>
      </c>
      <c r="L18" s="8">
        <f>Optimization_of_Ticket_Dataset[[#This Row],[Fixed         Revenue ]]-Optimization_of_Ticket_Dataset[[#This Row],[Optimized Revenue]]</f>
        <v>0</v>
      </c>
    </row>
    <row r="19" spans="2:12" x14ac:dyDescent="0.25">
      <c r="C19" s="21">
        <v>17</v>
      </c>
      <c r="D19" s="20">
        <v>46210</v>
      </c>
      <c r="E19" s="22">
        <v>431</v>
      </c>
      <c r="F19" s="23" t="str">
        <f>IF(E19&lt;=500,"4500","4000")</f>
        <v>4500</v>
      </c>
      <c r="G19" s="22">
        <v>411</v>
      </c>
      <c r="H19" s="24">
        <f>Optimization_of_Ticket_Dataset[[#This Row],[Tickets_Sold]]*Optimization_of_Ticket_Dataset[[#This Row],[Price_per_Ticket]]</f>
        <v>1849500</v>
      </c>
      <c r="I19" s="24">
        <f>Optimization_of_Ticket_Dataset[[#This Row],[Tickets_Sold]]*4500</f>
        <v>1849500</v>
      </c>
      <c r="J19" s="24">
        <f>Optimization_of_Ticket_Dataset[[#This Row],[Demand/Orders]]*Optimization_of_Ticket_Dataset[[#This Row],[Price_per_Ticket]]</f>
        <v>1939500</v>
      </c>
      <c r="K19" s="25">
        <f>Optimization_of_Ticket_Dataset[[#This Row],[Optimized Revenue]]-Optimization_of_Ticket_Dataset[[#This Row],[Full Demand Revenue]]</f>
        <v>-90000</v>
      </c>
      <c r="L19" s="25">
        <f>Optimization_of_Ticket_Dataset[[#This Row],[Fixed         Revenue ]]-Optimization_of_Ticket_Dataset[[#This Row],[Optimized Revenue]]</f>
        <v>0</v>
      </c>
    </row>
    <row r="20" spans="2:12" x14ac:dyDescent="0.25">
      <c r="C20" s="6">
        <v>1</v>
      </c>
      <c r="D20" s="1">
        <v>46060</v>
      </c>
      <c r="E20" s="2">
        <v>438</v>
      </c>
      <c r="F20" s="3" t="str">
        <f>IF(E20&lt;=500,"4500","4000")</f>
        <v>4500</v>
      </c>
      <c r="G20" s="2">
        <v>415</v>
      </c>
      <c r="H20" s="4">
        <f>Optimization_of_Ticket_Dataset[[#This Row],[Tickets_Sold]]*Optimization_of_Ticket_Dataset[[#This Row],[Price_per_Ticket]]</f>
        <v>1867500</v>
      </c>
      <c r="I20" s="4">
        <f>Optimization_of_Ticket_Dataset[[#This Row],[Tickets_Sold]]*4500</f>
        <v>1867500</v>
      </c>
      <c r="J20" s="4">
        <f>Optimization_of_Ticket_Dataset[[#This Row],[Demand/Orders]]*Optimization_of_Ticket_Dataset[[#This Row],[Price_per_Ticket]]</f>
        <v>1971000</v>
      </c>
      <c r="K20" s="7">
        <f>Optimization_of_Ticket_Dataset[[#This Row],[Optimized Revenue]]-Optimization_of_Ticket_Dataset[[#This Row],[Full Demand Revenue]]</f>
        <v>-103500</v>
      </c>
      <c r="L20" s="8">
        <f>Optimization_of_Ticket_Dataset[[#This Row],[Fixed         Revenue ]]-Optimization_of_Ticket_Dataset[[#This Row],[Optimized Revenue]]</f>
        <v>0</v>
      </c>
    </row>
    <row r="21" spans="2:12" x14ac:dyDescent="0.25">
      <c r="C21" s="31">
        <v>16</v>
      </c>
      <c r="D21" s="32">
        <v>46138</v>
      </c>
      <c r="E21" s="33">
        <v>467</v>
      </c>
      <c r="F21" s="34" t="str">
        <f>IF(E21&lt;=500,"4500","4000")</f>
        <v>4500</v>
      </c>
      <c r="G21" s="33">
        <v>364</v>
      </c>
      <c r="H21" s="35">
        <f>Optimization_of_Ticket_Dataset[[#This Row],[Tickets_Sold]]*Optimization_of_Ticket_Dataset[[#This Row],[Price_per_Ticket]]</f>
        <v>1638000</v>
      </c>
      <c r="I21" s="35">
        <f>Optimization_of_Ticket_Dataset[[#This Row],[Tickets_Sold]]*4500</f>
        <v>1638000</v>
      </c>
      <c r="J21" s="35">
        <f>Optimization_of_Ticket_Dataset[[#This Row],[Demand/Orders]]*Optimization_of_Ticket_Dataset[[#This Row],[Price_per_Ticket]]</f>
        <v>2101500</v>
      </c>
      <c r="K21" s="36">
        <f>Optimization_of_Ticket_Dataset[[#This Row],[Optimized Revenue]]-Optimization_of_Ticket_Dataset[[#This Row],[Full Demand Revenue]]</f>
        <v>-463500</v>
      </c>
      <c r="L21" s="36">
        <f>Optimization_of_Ticket_Dataset[[#This Row],[Fixed         Revenue ]]-Optimization_of_Ticket_Dataset[[#This Row],[Optimized Revenue]]</f>
        <v>0</v>
      </c>
    </row>
    <row r="22" spans="2:12" x14ac:dyDescent="0.25">
      <c r="C22" s="13">
        <v>5</v>
      </c>
      <c r="D22" s="14">
        <v>46096</v>
      </c>
      <c r="E22" s="15">
        <v>470</v>
      </c>
      <c r="F22" s="16" t="str">
        <f>IF(E22&lt;=500,"4500","4000")</f>
        <v>4500</v>
      </c>
      <c r="G22" s="15">
        <v>362</v>
      </c>
      <c r="H22" s="17">
        <f>Optimization_of_Ticket_Dataset[[#This Row],[Tickets_Sold]]*Optimization_of_Ticket_Dataset[[#This Row],[Price_per_Ticket]]</f>
        <v>1629000</v>
      </c>
      <c r="I22" s="17">
        <f>Optimization_of_Ticket_Dataset[[#This Row],[Tickets_Sold]]*4500</f>
        <v>1629000</v>
      </c>
      <c r="J22" s="17">
        <f>Optimization_of_Ticket_Dataset[[#This Row],[Demand/Orders]]*Optimization_of_Ticket_Dataset[[#This Row],[Price_per_Ticket]]</f>
        <v>2115000</v>
      </c>
      <c r="K22" s="18">
        <f>Optimization_of_Ticket_Dataset[[#This Row],[Optimized Revenue]]-Optimization_of_Ticket_Dataset[[#This Row],[Full Demand Revenue]]</f>
        <v>-486000</v>
      </c>
      <c r="L22" s="18">
        <f>Optimization_of_Ticket_Dataset[[#This Row],[Fixed         Revenue ]]-Optimization_of_Ticket_Dataset[[#This Row],[Optimized Revenue]]</f>
        <v>0</v>
      </c>
    </row>
    <row r="23" spans="2:12" hidden="1" x14ac:dyDescent="0.25">
      <c r="B23" s="12"/>
      <c r="C23" s="21"/>
      <c r="D23" s="26" t="s">
        <v>24</v>
      </c>
      <c r="E23" s="27">
        <f>SUBTOTAL(9,E3:E22)</f>
        <v>10080</v>
      </c>
      <c r="F23" s="30"/>
      <c r="G23" s="27">
        <f>SUBTOTAL(9,G3:G22)</f>
        <v>9592</v>
      </c>
      <c r="H23" s="28">
        <f>SUBTOTAL(9,H3:H22)</f>
        <v>40662000</v>
      </c>
      <c r="I23" s="28">
        <f>SUBTOTAL(9,I3:I22)</f>
        <v>43164000</v>
      </c>
      <c r="J23" s="28">
        <f>SUBTOTAL(9,J3:J22)</f>
        <v>42359500</v>
      </c>
      <c r="K23" s="29">
        <f>SUBTOTAL(9,K3:K22)</f>
        <v>-1697500</v>
      </c>
      <c r="L23" s="29">
        <f>SUBTOTAL(9,L3:L22)</f>
        <v>2502000</v>
      </c>
    </row>
    <row r="24" spans="2:12" x14ac:dyDescent="0.25">
      <c r="G24" s="12"/>
      <c r="J24" s="12"/>
      <c r="K24" s="12"/>
    </row>
    <row r="26" spans="2:12" x14ac:dyDescent="0.25">
      <c r="E26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F7B8-FAB1-4484-835E-B9B5ECB48425}">
  <dimension ref="A1"/>
  <sheetViews>
    <sheetView showGridLines="0" showRowColHeaders="0" tabSelected="1" topLeftCell="A2" zoomScale="70" zoomScaleNormal="70" workbookViewId="0">
      <selection activeCell="Y16" sqref="Y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6384" width="9.140625" style="11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BC8FA-8866-4311-BDF0-A8C0C5923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Optimization of Ticket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Email</dc:creator>
  <cp:lastModifiedBy>Warehouse Email</cp:lastModifiedBy>
  <dcterms:created xsi:type="dcterms:W3CDTF">2026-03-31T14:59:19Z</dcterms:created>
  <dcterms:modified xsi:type="dcterms:W3CDTF">2026-07-20T15:52:39Z</dcterms:modified>
</cp:coreProperties>
</file>